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0B67AA81-C006-4579-A679-1F339255E6F4}" xr6:coauthVersionLast="45" xr6:coauthVersionMax="45" xr10:uidLastSave="{00000000-0000-0000-0000-000000000000}"/>
  <bookViews>
    <workbookView xWindow="-108" yWindow="-108" windowWidth="23256" windowHeight="12576" xr2:uid="{B74929D4-B6B8-4C7B-B508-62E9838F526F}"/>
  </bookViews>
  <sheets>
    <sheet name="Supplemental table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49" i="1" l="1"/>
  <c r="N149" i="1"/>
  <c r="M149" i="1"/>
  <c r="L149" i="1"/>
  <c r="K149" i="1"/>
  <c r="J149" i="1"/>
  <c r="P149" i="1" s="1"/>
  <c r="I149" i="1"/>
  <c r="O148" i="1"/>
  <c r="N148" i="1"/>
  <c r="M148" i="1"/>
  <c r="L148" i="1"/>
  <c r="K148" i="1"/>
  <c r="J148" i="1"/>
  <c r="P148" i="1" s="1"/>
  <c r="I148" i="1"/>
  <c r="O147" i="1"/>
  <c r="N147" i="1"/>
  <c r="M147" i="1"/>
  <c r="L147" i="1"/>
  <c r="K147" i="1"/>
  <c r="J147" i="1"/>
  <c r="P147" i="1" s="1"/>
  <c r="I147" i="1"/>
  <c r="O146" i="1"/>
  <c r="N146" i="1"/>
  <c r="M146" i="1"/>
  <c r="L146" i="1"/>
  <c r="K146" i="1"/>
  <c r="J146" i="1"/>
  <c r="P146" i="1" s="1"/>
  <c r="I146" i="1"/>
  <c r="O145" i="1"/>
  <c r="N145" i="1"/>
  <c r="M145" i="1"/>
  <c r="L145" i="1"/>
  <c r="K145" i="1"/>
  <c r="J145" i="1"/>
  <c r="P145" i="1" s="1"/>
  <c r="I145" i="1"/>
  <c r="O144" i="1"/>
  <c r="N144" i="1"/>
  <c r="M144" i="1"/>
  <c r="L144" i="1"/>
  <c r="K144" i="1"/>
  <c r="J144" i="1"/>
  <c r="P144" i="1" s="1"/>
  <c r="I144" i="1"/>
  <c r="O143" i="1"/>
  <c r="N143" i="1"/>
  <c r="M143" i="1"/>
  <c r="L143" i="1"/>
  <c r="K143" i="1"/>
  <c r="J143" i="1"/>
  <c r="P143" i="1" s="1"/>
  <c r="I143" i="1"/>
  <c r="O142" i="1"/>
  <c r="N142" i="1"/>
  <c r="M142" i="1"/>
  <c r="L142" i="1"/>
  <c r="K142" i="1"/>
  <c r="J142" i="1"/>
  <c r="I142" i="1"/>
  <c r="O141" i="1"/>
  <c r="N141" i="1"/>
  <c r="M141" i="1"/>
  <c r="L141" i="1"/>
  <c r="K141" i="1"/>
  <c r="J141" i="1"/>
  <c r="P141" i="1" s="1"/>
  <c r="I141" i="1"/>
  <c r="O140" i="1"/>
  <c r="N140" i="1"/>
  <c r="M140" i="1"/>
  <c r="L140" i="1"/>
  <c r="K140" i="1"/>
  <c r="J140" i="1"/>
  <c r="I140" i="1"/>
  <c r="O139" i="1"/>
  <c r="N139" i="1"/>
  <c r="M139" i="1"/>
  <c r="L139" i="1"/>
  <c r="K139" i="1"/>
  <c r="J139" i="1"/>
  <c r="I139" i="1"/>
  <c r="O138" i="1"/>
  <c r="N138" i="1"/>
  <c r="M138" i="1"/>
  <c r="L138" i="1"/>
  <c r="K138" i="1"/>
  <c r="J138" i="1"/>
  <c r="I138" i="1"/>
  <c r="O137" i="1"/>
  <c r="N137" i="1"/>
  <c r="M137" i="1"/>
  <c r="L137" i="1"/>
  <c r="K137" i="1"/>
  <c r="J137" i="1"/>
  <c r="I137" i="1"/>
  <c r="O136" i="1"/>
  <c r="N136" i="1"/>
  <c r="M136" i="1"/>
  <c r="L136" i="1"/>
  <c r="K136" i="1"/>
  <c r="J136" i="1"/>
  <c r="I136" i="1"/>
  <c r="O135" i="1"/>
  <c r="N135" i="1"/>
  <c r="M135" i="1"/>
  <c r="L135" i="1"/>
  <c r="K135" i="1"/>
  <c r="J135" i="1"/>
  <c r="P135" i="1" s="1"/>
  <c r="I135" i="1"/>
  <c r="O134" i="1"/>
  <c r="N134" i="1"/>
  <c r="M134" i="1"/>
  <c r="L134" i="1"/>
  <c r="K134" i="1"/>
  <c r="J134" i="1"/>
  <c r="I134" i="1"/>
  <c r="O133" i="1"/>
  <c r="N133" i="1"/>
  <c r="M133" i="1"/>
  <c r="L133" i="1"/>
  <c r="K133" i="1"/>
  <c r="J133" i="1"/>
  <c r="I133" i="1"/>
  <c r="O132" i="1"/>
  <c r="N132" i="1"/>
  <c r="M132" i="1"/>
  <c r="L132" i="1"/>
  <c r="K132" i="1"/>
  <c r="J132" i="1"/>
  <c r="I132" i="1"/>
  <c r="O131" i="1"/>
  <c r="N131" i="1"/>
  <c r="M131" i="1"/>
  <c r="L131" i="1"/>
  <c r="K131" i="1"/>
  <c r="J131" i="1"/>
  <c r="I131" i="1"/>
  <c r="O130" i="1"/>
  <c r="N130" i="1"/>
  <c r="M130" i="1"/>
  <c r="L130" i="1"/>
  <c r="K130" i="1"/>
  <c r="J130" i="1"/>
  <c r="I130" i="1"/>
  <c r="O129" i="1"/>
  <c r="N129" i="1"/>
  <c r="M129" i="1"/>
  <c r="L129" i="1"/>
  <c r="K129" i="1"/>
  <c r="J129" i="1"/>
  <c r="I129" i="1"/>
  <c r="O128" i="1"/>
  <c r="N128" i="1"/>
  <c r="M128" i="1"/>
  <c r="L128" i="1"/>
  <c r="K128" i="1"/>
  <c r="J128" i="1"/>
  <c r="I128" i="1"/>
  <c r="O127" i="1"/>
  <c r="N127" i="1"/>
  <c r="M127" i="1"/>
  <c r="L127" i="1"/>
  <c r="K127" i="1"/>
  <c r="J127" i="1"/>
  <c r="P127" i="1" s="1"/>
  <c r="I127" i="1"/>
  <c r="O126" i="1"/>
  <c r="N126" i="1"/>
  <c r="M126" i="1"/>
  <c r="L126" i="1"/>
  <c r="K126" i="1"/>
  <c r="J126" i="1"/>
  <c r="I126" i="1"/>
  <c r="O125" i="1"/>
  <c r="N125" i="1"/>
  <c r="M125" i="1"/>
  <c r="L125" i="1"/>
  <c r="K125" i="1"/>
  <c r="J125" i="1"/>
  <c r="I125" i="1"/>
  <c r="O124" i="1"/>
  <c r="N124" i="1"/>
  <c r="M124" i="1"/>
  <c r="L124" i="1"/>
  <c r="K124" i="1"/>
  <c r="J124" i="1"/>
  <c r="I124" i="1"/>
  <c r="O123" i="1"/>
  <c r="N123" i="1"/>
  <c r="M123" i="1"/>
  <c r="L123" i="1"/>
  <c r="K123" i="1"/>
  <c r="J123" i="1"/>
  <c r="I123" i="1"/>
  <c r="O122" i="1"/>
  <c r="N122" i="1"/>
  <c r="M122" i="1"/>
  <c r="L122" i="1"/>
  <c r="K122" i="1"/>
  <c r="J122" i="1"/>
  <c r="I122" i="1"/>
  <c r="O121" i="1"/>
  <c r="N121" i="1"/>
  <c r="M121" i="1"/>
  <c r="L121" i="1"/>
  <c r="K121" i="1"/>
  <c r="J121" i="1"/>
  <c r="I121" i="1"/>
  <c r="O120" i="1"/>
  <c r="N120" i="1"/>
  <c r="M120" i="1"/>
  <c r="L120" i="1"/>
  <c r="K120" i="1"/>
  <c r="J120" i="1"/>
  <c r="I120" i="1"/>
  <c r="O119" i="1"/>
  <c r="N119" i="1"/>
  <c r="M119" i="1"/>
  <c r="L119" i="1"/>
  <c r="K119" i="1"/>
  <c r="J119" i="1"/>
  <c r="P119" i="1" s="1"/>
  <c r="I119" i="1"/>
  <c r="O118" i="1"/>
  <c r="N118" i="1"/>
  <c r="M118" i="1"/>
  <c r="L118" i="1"/>
  <c r="K118" i="1"/>
  <c r="J118" i="1"/>
  <c r="I118" i="1"/>
  <c r="O117" i="1"/>
  <c r="N117" i="1"/>
  <c r="M117" i="1"/>
  <c r="L117" i="1"/>
  <c r="K117" i="1"/>
  <c r="J117" i="1"/>
  <c r="I117" i="1"/>
  <c r="O116" i="1"/>
  <c r="N116" i="1"/>
  <c r="M116" i="1"/>
  <c r="L116" i="1"/>
  <c r="K116" i="1"/>
  <c r="J116" i="1"/>
  <c r="I116" i="1"/>
  <c r="O115" i="1"/>
  <c r="N115" i="1"/>
  <c r="M115" i="1"/>
  <c r="L115" i="1"/>
  <c r="K115" i="1"/>
  <c r="J115" i="1"/>
  <c r="I115" i="1"/>
  <c r="O114" i="1"/>
  <c r="N114" i="1"/>
  <c r="M114" i="1"/>
  <c r="L114" i="1"/>
  <c r="K114" i="1"/>
  <c r="J114" i="1"/>
  <c r="I114" i="1"/>
  <c r="O113" i="1"/>
  <c r="N113" i="1"/>
  <c r="M113" i="1"/>
  <c r="L113" i="1"/>
  <c r="K113" i="1"/>
  <c r="J113" i="1"/>
  <c r="I113" i="1"/>
  <c r="O112" i="1"/>
  <c r="N112" i="1"/>
  <c r="M112" i="1"/>
  <c r="L112" i="1"/>
  <c r="K112" i="1"/>
  <c r="J112" i="1"/>
  <c r="I112" i="1"/>
  <c r="O111" i="1"/>
  <c r="N111" i="1"/>
  <c r="M111" i="1"/>
  <c r="L111" i="1"/>
  <c r="K111" i="1"/>
  <c r="J111" i="1"/>
  <c r="P111" i="1" s="1"/>
  <c r="I111" i="1"/>
  <c r="O110" i="1"/>
  <c r="N110" i="1"/>
  <c r="M110" i="1"/>
  <c r="L110" i="1"/>
  <c r="K110" i="1"/>
  <c r="J110" i="1"/>
  <c r="I110" i="1"/>
  <c r="O109" i="1"/>
  <c r="N109" i="1"/>
  <c r="M109" i="1"/>
  <c r="L109" i="1"/>
  <c r="K109" i="1"/>
  <c r="J109" i="1"/>
  <c r="I109" i="1"/>
  <c r="O108" i="1"/>
  <c r="N108" i="1"/>
  <c r="M108" i="1"/>
  <c r="L108" i="1"/>
  <c r="K108" i="1"/>
  <c r="J108" i="1"/>
  <c r="I108" i="1"/>
  <c r="O107" i="1"/>
  <c r="N107" i="1"/>
  <c r="M107" i="1"/>
  <c r="L107" i="1"/>
  <c r="K107" i="1"/>
  <c r="J107" i="1"/>
  <c r="I107" i="1"/>
  <c r="O106" i="1"/>
  <c r="N106" i="1"/>
  <c r="M106" i="1"/>
  <c r="L106" i="1"/>
  <c r="K106" i="1"/>
  <c r="J106" i="1"/>
  <c r="I106" i="1"/>
  <c r="O105" i="1"/>
  <c r="N105" i="1"/>
  <c r="M105" i="1"/>
  <c r="L105" i="1"/>
  <c r="K105" i="1"/>
  <c r="J105" i="1"/>
  <c r="I105" i="1"/>
  <c r="O104" i="1"/>
  <c r="N104" i="1"/>
  <c r="M104" i="1"/>
  <c r="L104" i="1"/>
  <c r="K104" i="1"/>
  <c r="J104" i="1"/>
  <c r="I104" i="1"/>
  <c r="O103" i="1"/>
  <c r="N103" i="1"/>
  <c r="M103" i="1"/>
  <c r="L103" i="1"/>
  <c r="K103" i="1"/>
  <c r="J103" i="1"/>
  <c r="P103" i="1" s="1"/>
  <c r="I103" i="1"/>
  <c r="O102" i="1"/>
  <c r="N102" i="1"/>
  <c r="M102" i="1"/>
  <c r="L102" i="1"/>
  <c r="K102" i="1"/>
  <c r="J102" i="1"/>
  <c r="I102" i="1"/>
  <c r="O101" i="1"/>
  <c r="N101" i="1"/>
  <c r="M101" i="1"/>
  <c r="L101" i="1"/>
  <c r="K101" i="1"/>
  <c r="J101" i="1"/>
  <c r="I101" i="1"/>
  <c r="O100" i="1"/>
  <c r="N100" i="1"/>
  <c r="M100" i="1"/>
  <c r="L100" i="1"/>
  <c r="K100" i="1"/>
  <c r="J100" i="1"/>
  <c r="I100" i="1"/>
  <c r="O99" i="1"/>
  <c r="N99" i="1"/>
  <c r="M99" i="1"/>
  <c r="L99" i="1"/>
  <c r="K99" i="1"/>
  <c r="J99" i="1"/>
  <c r="I99" i="1"/>
  <c r="O98" i="1"/>
  <c r="N98" i="1"/>
  <c r="M98" i="1"/>
  <c r="L98" i="1"/>
  <c r="K98" i="1"/>
  <c r="J98" i="1"/>
  <c r="I98" i="1"/>
  <c r="O97" i="1"/>
  <c r="N97" i="1"/>
  <c r="M97" i="1"/>
  <c r="L97" i="1"/>
  <c r="K97" i="1"/>
  <c r="J97" i="1"/>
  <c r="I97" i="1"/>
  <c r="O96" i="1"/>
  <c r="N96" i="1"/>
  <c r="M96" i="1"/>
  <c r="L96" i="1"/>
  <c r="K96" i="1"/>
  <c r="J96" i="1"/>
  <c r="I96" i="1"/>
  <c r="O95" i="1"/>
  <c r="N95" i="1"/>
  <c r="M95" i="1"/>
  <c r="L95" i="1"/>
  <c r="K95" i="1"/>
  <c r="J95" i="1"/>
  <c r="P95" i="1" s="1"/>
  <c r="I95" i="1"/>
  <c r="O94" i="1"/>
  <c r="N94" i="1"/>
  <c r="M94" i="1"/>
  <c r="L94" i="1"/>
  <c r="K94" i="1"/>
  <c r="J94" i="1"/>
  <c r="I94" i="1"/>
  <c r="O93" i="1"/>
  <c r="N93" i="1"/>
  <c r="M93" i="1"/>
  <c r="L93" i="1"/>
  <c r="K93" i="1"/>
  <c r="J93" i="1"/>
  <c r="I93" i="1"/>
  <c r="O92" i="1"/>
  <c r="N92" i="1"/>
  <c r="M92" i="1"/>
  <c r="L92" i="1"/>
  <c r="K92" i="1"/>
  <c r="J92" i="1"/>
  <c r="I92" i="1"/>
  <c r="O91" i="1"/>
  <c r="N91" i="1"/>
  <c r="M91" i="1"/>
  <c r="L91" i="1"/>
  <c r="K91" i="1"/>
  <c r="J91" i="1"/>
  <c r="I91" i="1"/>
  <c r="O90" i="1"/>
  <c r="N90" i="1"/>
  <c r="M90" i="1"/>
  <c r="L90" i="1"/>
  <c r="K90" i="1"/>
  <c r="J90" i="1"/>
  <c r="I90" i="1"/>
  <c r="O89" i="1"/>
  <c r="N89" i="1"/>
  <c r="M89" i="1"/>
  <c r="L89" i="1"/>
  <c r="K89" i="1"/>
  <c r="J89" i="1"/>
  <c r="I89" i="1"/>
  <c r="O88" i="1"/>
  <c r="N88" i="1"/>
  <c r="M88" i="1"/>
  <c r="L88" i="1"/>
  <c r="K88" i="1"/>
  <c r="J88" i="1"/>
  <c r="I88" i="1"/>
  <c r="O87" i="1"/>
  <c r="N87" i="1"/>
  <c r="M87" i="1"/>
  <c r="L87" i="1"/>
  <c r="K87" i="1"/>
  <c r="J87" i="1"/>
  <c r="P87" i="1" s="1"/>
  <c r="I87" i="1"/>
  <c r="O86" i="1"/>
  <c r="N86" i="1"/>
  <c r="M86" i="1"/>
  <c r="L86" i="1"/>
  <c r="K86" i="1"/>
  <c r="J86" i="1"/>
  <c r="I86" i="1"/>
  <c r="O85" i="1"/>
  <c r="N85" i="1"/>
  <c r="M85" i="1"/>
  <c r="L85" i="1"/>
  <c r="K85" i="1"/>
  <c r="J85" i="1"/>
  <c r="I85" i="1"/>
  <c r="O84" i="1"/>
  <c r="N84" i="1"/>
  <c r="M84" i="1"/>
  <c r="L84" i="1"/>
  <c r="K84" i="1"/>
  <c r="J84" i="1"/>
  <c r="I84" i="1"/>
  <c r="O83" i="1"/>
  <c r="N83" i="1"/>
  <c r="M83" i="1"/>
  <c r="L83" i="1"/>
  <c r="K83" i="1"/>
  <c r="J83" i="1"/>
  <c r="I83" i="1"/>
  <c r="O82" i="1"/>
  <c r="N82" i="1"/>
  <c r="M82" i="1"/>
  <c r="L82" i="1"/>
  <c r="K82" i="1"/>
  <c r="J82" i="1"/>
  <c r="I82" i="1"/>
  <c r="O81" i="1"/>
  <c r="N81" i="1"/>
  <c r="M81" i="1"/>
  <c r="L81" i="1"/>
  <c r="K81" i="1"/>
  <c r="J81" i="1"/>
  <c r="I81" i="1"/>
  <c r="O80" i="1"/>
  <c r="N80" i="1"/>
  <c r="M80" i="1"/>
  <c r="L80" i="1"/>
  <c r="K80" i="1"/>
  <c r="J80" i="1"/>
  <c r="I80" i="1"/>
  <c r="O79" i="1"/>
  <c r="N79" i="1"/>
  <c r="M79" i="1"/>
  <c r="L79" i="1"/>
  <c r="K79" i="1"/>
  <c r="J79" i="1"/>
  <c r="P79" i="1" s="1"/>
  <c r="I79" i="1"/>
  <c r="O78" i="1"/>
  <c r="N78" i="1"/>
  <c r="M78" i="1"/>
  <c r="L78" i="1"/>
  <c r="K78" i="1"/>
  <c r="J78" i="1"/>
  <c r="I78" i="1"/>
  <c r="O77" i="1"/>
  <c r="N77" i="1"/>
  <c r="M77" i="1"/>
  <c r="L77" i="1"/>
  <c r="K77" i="1"/>
  <c r="J77" i="1"/>
  <c r="I77" i="1"/>
  <c r="O76" i="1"/>
  <c r="N76" i="1"/>
  <c r="M76" i="1"/>
  <c r="L76" i="1"/>
  <c r="K76" i="1"/>
  <c r="J76" i="1"/>
  <c r="I76" i="1"/>
  <c r="O75" i="1"/>
  <c r="N75" i="1"/>
  <c r="M75" i="1"/>
  <c r="L75" i="1"/>
  <c r="K75" i="1"/>
  <c r="J75" i="1"/>
  <c r="I75" i="1"/>
  <c r="O74" i="1"/>
  <c r="N74" i="1"/>
  <c r="M74" i="1"/>
  <c r="L74" i="1"/>
  <c r="K74" i="1"/>
  <c r="J74" i="1"/>
  <c r="I74" i="1"/>
  <c r="O73" i="1"/>
  <c r="N73" i="1"/>
  <c r="M73" i="1"/>
  <c r="L73" i="1"/>
  <c r="K73" i="1"/>
  <c r="J73" i="1"/>
  <c r="I73" i="1"/>
  <c r="O72" i="1"/>
  <c r="N72" i="1"/>
  <c r="M72" i="1"/>
  <c r="L72" i="1"/>
  <c r="K72" i="1"/>
  <c r="J72" i="1"/>
  <c r="I72" i="1"/>
  <c r="O71" i="1"/>
  <c r="N71" i="1"/>
  <c r="M71" i="1"/>
  <c r="L71" i="1"/>
  <c r="K71" i="1"/>
  <c r="J71" i="1"/>
  <c r="P71" i="1" s="1"/>
  <c r="I71" i="1"/>
  <c r="O70" i="1"/>
  <c r="N70" i="1"/>
  <c r="M70" i="1"/>
  <c r="L70" i="1"/>
  <c r="K70" i="1"/>
  <c r="J70" i="1"/>
  <c r="I70" i="1"/>
  <c r="O69" i="1"/>
  <c r="N69" i="1"/>
  <c r="M69" i="1"/>
  <c r="L69" i="1"/>
  <c r="K69" i="1"/>
  <c r="J69" i="1"/>
  <c r="I69" i="1"/>
  <c r="O68" i="1"/>
  <c r="N68" i="1"/>
  <c r="M68" i="1"/>
  <c r="L68" i="1"/>
  <c r="K68" i="1"/>
  <c r="J68" i="1"/>
  <c r="I68" i="1"/>
  <c r="O67" i="1"/>
  <c r="N67" i="1"/>
  <c r="M67" i="1"/>
  <c r="L67" i="1"/>
  <c r="K67" i="1"/>
  <c r="J67" i="1"/>
  <c r="I67" i="1"/>
  <c r="O66" i="1"/>
  <c r="N66" i="1"/>
  <c r="M66" i="1"/>
  <c r="L66" i="1"/>
  <c r="K66" i="1"/>
  <c r="J66" i="1"/>
  <c r="I66" i="1"/>
  <c r="O65" i="1"/>
  <c r="N65" i="1"/>
  <c r="M65" i="1"/>
  <c r="L65" i="1"/>
  <c r="K65" i="1"/>
  <c r="J65" i="1"/>
  <c r="I65" i="1"/>
  <c r="O64" i="1"/>
  <c r="N64" i="1"/>
  <c r="M64" i="1"/>
  <c r="L64" i="1"/>
  <c r="K64" i="1"/>
  <c r="J64" i="1"/>
  <c r="P64" i="1" s="1"/>
  <c r="I64" i="1"/>
  <c r="O63" i="1"/>
  <c r="N63" i="1"/>
  <c r="M63" i="1"/>
  <c r="L63" i="1"/>
  <c r="K63" i="1"/>
  <c r="J63" i="1"/>
  <c r="P63" i="1" s="1"/>
  <c r="I63" i="1"/>
  <c r="O62" i="1"/>
  <c r="N62" i="1"/>
  <c r="M62" i="1"/>
  <c r="L62" i="1"/>
  <c r="K62" i="1"/>
  <c r="J62" i="1"/>
  <c r="P62" i="1" s="1"/>
  <c r="I62" i="1"/>
  <c r="O61" i="1"/>
  <c r="N61" i="1"/>
  <c r="M61" i="1"/>
  <c r="L61" i="1"/>
  <c r="K61" i="1"/>
  <c r="J61" i="1"/>
  <c r="P61" i="1" s="1"/>
  <c r="I61" i="1"/>
  <c r="O60" i="1"/>
  <c r="N60" i="1"/>
  <c r="M60" i="1"/>
  <c r="L60" i="1"/>
  <c r="K60" i="1"/>
  <c r="J60" i="1"/>
  <c r="P60" i="1" s="1"/>
  <c r="I60" i="1"/>
  <c r="O59" i="1"/>
  <c r="N59" i="1"/>
  <c r="M59" i="1"/>
  <c r="L59" i="1"/>
  <c r="K59" i="1"/>
  <c r="J59" i="1"/>
  <c r="P59" i="1" s="1"/>
  <c r="I59" i="1"/>
  <c r="O58" i="1"/>
  <c r="N58" i="1"/>
  <c r="M58" i="1"/>
  <c r="L58" i="1"/>
  <c r="K58" i="1"/>
  <c r="J58" i="1"/>
  <c r="P58" i="1" s="1"/>
  <c r="I58" i="1"/>
  <c r="O57" i="1"/>
  <c r="N57" i="1"/>
  <c r="M57" i="1"/>
  <c r="L57" i="1"/>
  <c r="K57" i="1"/>
  <c r="J57" i="1"/>
  <c r="P57" i="1" s="1"/>
  <c r="I57" i="1"/>
  <c r="O56" i="1"/>
  <c r="N56" i="1"/>
  <c r="M56" i="1"/>
  <c r="L56" i="1"/>
  <c r="K56" i="1"/>
  <c r="J56" i="1"/>
  <c r="P56" i="1" s="1"/>
  <c r="I56" i="1"/>
  <c r="O55" i="1"/>
  <c r="N55" i="1"/>
  <c r="M55" i="1"/>
  <c r="L55" i="1"/>
  <c r="K55" i="1"/>
  <c r="J55" i="1"/>
  <c r="P55" i="1" s="1"/>
  <c r="I55" i="1"/>
  <c r="O54" i="1"/>
  <c r="N54" i="1"/>
  <c r="M54" i="1"/>
  <c r="L54" i="1"/>
  <c r="K54" i="1"/>
  <c r="J54" i="1"/>
  <c r="P54" i="1" s="1"/>
  <c r="I54" i="1"/>
  <c r="O53" i="1"/>
  <c r="N53" i="1"/>
  <c r="M53" i="1"/>
  <c r="L53" i="1"/>
  <c r="K53" i="1"/>
  <c r="J53" i="1"/>
  <c r="P53" i="1" s="1"/>
  <c r="I53" i="1"/>
  <c r="O52" i="1"/>
  <c r="N52" i="1"/>
  <c r="M52" i="1"/>
  <c r="L52" i="1"/>
  <c r="K52" i="1"/>
  <c r="J52" i="1"/>
  <c r="P52" i="1" s="1"/>
  <c r="I52" i="1"/>
  <c r="O51" i="1"/>
  <c r="N51" i="1"/>
  <c r="M51" i="1"/>
  <c r="L51" i="1"/>
  <c r="K51" i="1"/>
  <c r="J51" i="1"/>
  <c r="P51" i="1" s="1"/>
  <c r="I51" i="1"/>
  <c r="O50" i="1"/>
  <c r="N50" i="1"/>
  <c r="M50" i="1"/>
  <c r="L50" i="1"/>
  <c r="K50" i="1"/>
  <c r="J50" i="1"/>
  <c r="P50" i="1" s="1"/>
  <c r="I50" i="1"/>
  <c r="O49" i="1"/>
  <c r="N49" i="1"/>
  <c r="M49" i="1"/>
  <c r="L49" i="1"/>
  <c r="K49" i="1"/>
  <c r="J49" i="1"/>
  <c r="P49" i="1" s="1"/>
  <c r="I49" i="1"/>
  <c r="O48" i="1"/>
  <c r="N48" i="1"/>
  <c r="M48" i="1"/>
  <c r="L48" i="1"/>
  <c r="K48" i="1"/>
  <c r="J48" i="1"/>
  <c r="P48" i="1" s="1"/>
  <c r="I48" i="1"/>
  <c r="O47" i="1"/>
  <c r="N47" i="1"/>
  <c r="M47" i="1"/>
  <c r="L47" i="1"/>
  <c r="K47" i="1"/>
  <c r="J47" i="1"/>
  <c r="P47" i="1" s="1"/>
  <c r="I47" i="1"/>
  <c r="O46" i="1"/>
  <c r="N46" i="1"/>
  <c r="M46" i="1"/>
  <c r="L46" i="1"/>
  <c r="K46" i="1"/>
  <c r="J46" i="1"/>
  <c r="P46" i="1" s="1"/>
  <c r="I46" i="1"/>
  <c r="O45" i="1"/>
  <c r="N45" i="1"/>
  <c r="M45" i="1"/>
  <c r="L45" i="1"/>
  <c r="K45" i="1"/>
  <c r="J45" i="1"/>
  <c r="P45" i="1" s="1"/>
  <c r="I45" i="1"/>
  <c r="O44" i="1"/>
  <c r="N44" i="1"/>
  <c r="M44" i="1"/>
  <c r="L44" i="1"/>
  <c r="K44" i="1"/>
  <c r="J44" i="1"/>
  <c r="P44" i="1" s="1"/>
  <c r="I44" i="1"/>
  <c r="O43" i="1"/>
  <c r="N43" i="1"/>
  <c r="M43" i="1"/>
  <c r="L43" i="1"/>
  <c r="K43" i="1"/>
  <c r="J43" i="1"/>
  <c r="P43" i="1" s="1"/>
  <c r="I43" i="1"/>
  <c r="O42" i="1"/>
  <c r="N42" i="1"/>
  <c r="M42" i="1"/>
  <c r="L42" i="1"/>
  <c r="K42" i="1"/>
  <c r="J42" i="1"/>
  <c r="P42" i="1" s="1"/>
  <c r="I42" i="1"/>
  <c r="O41" i="1"/>
  <c r="N41" i="1"/>
  <c r="M41" i="1"/>
  <c r="L41" i="1"/>
  <c r="K41" i="1"/>
  <c r="J41" i="1"/>
  <c r="P41" i="1" s="1"/>
  <c r="I41" i="1"/>
  <c r="O40" i="1"/>
  <c r="N40" i="1"/>
  <c r="M40" i="1"/>
  <c r="L40" i="1"/>
  <c r="K40" i="1"/>
  <c r="J40" i="1"/>
  <c r="P40" i="1" s="1"/>
  <c r="I40" i="1"/>
  <c r="O39" i="1"/>
  <c r="N39" i="1"/>
  <c r="M39" i="1"/>
  <c r="L39" i="1"/>
  <c r="K39" i="1"/>
  <c r="J39" i="1"/>
  <c r="P39" i="1" s="1"/>
  <c r="I39" i="1"/>
  <c r="O38" i="1"/>
  <c r="N38" i="1"/>
  <c r="M38" i="1"/>
  <c r="L38" i="1"/>
  <c r="K38" i="1"/>
  <c r="J38" i="1"/>
  <c r="P38" i="1" s="1"/>
  <c r="I38" i="1"/>
  <c r="O37" i="1"/>
  <c r="N37" i="1"/>
  <c r="M37" i="1"/>
  <c r="L37" i="1"/>
  <c r="K37" i="1"/>
  <c r="J37" i="1"/>
  <c r="P37" i="1" s="1"/>
  <c r="I37" i="1"/>
  <c r="O36" i="1"/>
  <c r="N36" i="1"/>
  <c r="M36" i="1"/>
  <c r="L36" i="1"/>
  <c r="K36" i="1"/>
  <c r="J36" i="1"/>
  <c r="P36" i="1" s="1"/>
  <c r="I36" i="1"/>
  <c r="O35" i="1"/>
  <c r="N35" i="1"/>
  <c r="M35" i="1"/>
  <c r="L35" i="1"/>
  <c r="K35" i="1"/>
  <c r="J35" i="1"/>
  <c r="P35" i="1" s="1"/>
  <c r="I35" i="1"/>
  <c r="O34" i="1"/>
  <c r="N34" i="1"/>
  <c r="M34" i="1"/>
  <c r="L34" i="1"/>
  <c r="K34" i="1"/>
  <c r="J34" i="1"/>
  <c r="P34" i="1" s="1"/>
  <c r="I34" i="1"/>
  <c r="O33" i="1"/>
  <c r="N33" i="1"/>
  <c r="M33" i="1"/>
  <c r="L33" i="1"/>
  <c r="K33" i="1"/>
  <c r="J33" i="1"/>
  <c r="P33" i="1" s="1"/>
  <c r="I33" i="1"/>
  <c r="O32" i="1"/>
  <c r="N32" i="1"/>
  <c r="M32" i="1"/>
  <c r="L32" i="1"/>
  <c r="K32" i="1"/>
  <c r="J32" i="1"/>
  <c r="P32" i="1" s="1"/>
  <c r="I32" i="1"/>
  <c r="O31" i="1"/>
  <c r="N31" i="1"/>
  <c r="M31" i="1"/>
  <c r="L31" i="1"/>
  <c r="K31" i="1"/>
  <c r="J31" i="1"/>
  <c r="P31" i="1" s="1"/>
  <c r="I31" i="1"/>
  <c r="O30" i="1"/>
  <c r="N30" i="1"/>
  <c r="M30" i="1"/>
  <c r="L30" i="1"/>
  <c r="K30" i="1"/>
  <c r="J30" i="1"/>
  <c r="P30" i="1" s="1"/>
  <c r="I30" i="1"/>
  <c r="O29" i="1"/>
  <c r="N29" i="1"/>
  <c r="M29" i="1"/>
  <c r="L29" i="1"/>
  <c r="K29" i="1"/>
  <c r="J29" i="1"/>
  <c r="P29" i="1" s="1"/>
  <c r="I29" i="1"/>
  <c r="O28" i="1"/>
  <c r="N28" i="1"/>
  <c r="M28" i="1"/>
  <c r="L28" i="1"/>
  <c r="K28" i="1"/>
  <c r="J28" i="1"/>
  <c r="P28" i="1" s="1"/>
  <c r="I28" i="1"/>
  <c r="O27" i="1"/>
  <c r="N27" i="1"/>
  <c r="M27" i="1"/>
  <c r="L27" i="1"/>
  <c r="K27" i="1"/>
  <c r="J27" i="1"/>
  <c r="P27" i="1" s="1"/>
  <c r="I27" i="1"/>
  <c r="O26" i="1"/>
  <c r="N26" i="1"/>
  <c r="M26" i="1"/>
  <c r="L26" i="1"/>
  <c r="K26" i="1"/>
  <c r="J26" i="1"/>
  <c r="P26" i="1" s="1"/>
  <c r="I26" i="1"/>
  <c r="O25" i="1"/>
  <c r="N25" i="1"/>
  <c r="M25" i="1"/>
  <c r="L25" i="1"/>
  <c r="K25" i="1"/>
  <c r="J25" i="1"/>
  <c r="P25" i="1" s="1"/>
  <c r="I25" i="1"/>
  <c r="O24" i="1"/>
  <c r="N24" i="1"/>
  <c r="M24" i="1"/>
  <c r="L24" i="1"/>
  <c r="K24" i="1"/>
  <c r="J24" i="1"/>
  <c r="P24" i="1" s="1"/>
  <c r="I24" i="1"/>
  <c r="O23" i="1"/>
  <c r="N23" i="1"/>
  <c r="M23" i="1"/>
  <c r="L23" i="1"/>
  <c r="K23" i="1"/>
  <c r="J23" i="1"/>
  <c r="P23" i="1" s="1"/>
  <c r="I23" i="1"/>
  <c r="O22" i="1"/>
  <c r="N22" i="1"/>
  <c r="M22" i="1"/>
  <c r="L22" i="1"/>
  <c r="K22" i="1"/>
  <c r="J22" i="1"/>
  <c r="P22" i="1" s="1"/>
  <c r="I22" i="1"/>
  <c r="O21" i="1"/>
  <c r="N21" i="1"/>
  <c r="M21" i="1"/>
  <c r="L21" i="1"/>
  <c r="K21" i="1"/>
  <c r="J21" i="1"/>
  <c r="P21" i="1" s="1"/>
  <c r="I21" i="1"/>
  <c r="O20" i="1"/>
  <c r="N20" i="1"/>
  <c r="M20" i="1"/>
  <c r="L20" i="1"/>
  <c r="K20" i="1"/>
  <c r="J20" i="1"/>
  <c r="P20" i="1" s="1"/>
  <c r="I20" i="1"/>
  <c r="O19" i="1"/>
  <c r="N19" i="1"/>
  <c r="M19" i="1"/>
  <c r="L19" i="1"/>
  <c r="K19" i="1"/>
  <c r="J19" i="1"/>
  <c r="P19" i="1" s="1"/>
  <c r="I19" i="1"/>
  <c r="O18" i="1"/>
  <c r="N18" i="1"/>
  <c r="M18" i="1"/>
  <c r="L18" i="1"/>
  <c r="K18" i="1"/>
  <c r="J18" i="1"/>
  <c r="P18" i="1" s="1"/>
  <c r="I18" i="1"/>
  <c r="O17" i="1"/>
  <c r="N17" i="1"/>
  <c r="M17" i="1"/>
  <c r="L17" i="1"/>
  <c r="K17" i="1"/>
  <c r="J17" i="1"/>
  <c r="P17" i="1" s="1"/>
  <c r="I17" i="1"/>
  <c r="O16" i="1"/>
  <c r="N16" i="1"/>
  <c r="M16" i="1"/>
  <c r="L16" i="1"/>
  <c r="K16" i="1"/>
  <c r="J16" i="1"/>
  <c r="P16" i="1" s="1"/>
  <c r="I16" i="1"/>
  <c r="O15" i="1"/>
  <c r="N15" i="1"/>
  <c r="M15" i="1"/>
  <c r="L15" i="1"/>
  <c r="K15" i="1"/>
  <c r="J15" i="1"/>
  <c r="P15" i="1" s="1"/>
  <c r="I15" i="1"/>
  <c r="O14" i="1"/>
  <c r="N14" i="1"/>
  <c r="M14" i="1"/>
  <c r="L14" i="1"/>
  <c r="K14" i="1"/>
  <c r="J14" i="1"/>
  <c r="P14" i="1" s="1"/>
  <c r="I14" i="1"/>
  <c r="O13" i="1"/>
  <c r="N13" i="1"/>
  <c r="M13" i="1"/>
  <c r="L13" i="1"/>
  <c r="K13" i="1"/>
  <c r="J13" i="1"/>
  <c r="P13" i="1" s="1"/>
  <c r="I13" i="1"/>
  <c r="O12" i="1"/>
  <c r="N12" i="1"/>
  <c r="M12" i="1"/>
  <c r="L12" i="1"/>
  <c r="K12" i="1"/>
  <c r="J12" i="1"/>
  <c r="P12" i="1" s="1"/>
  <c r="I12" i="1"/>
  <c r="O11" i="1"/>
  <c r="N11" i="1"/>
  <c r="M11" i="1"/>
  <c r="L11" i="1"/>
  <c r="K11" i="1"/>
  <c r="J11" i="1"/>
  <c r="P11" i="1" s="1"/>
  <c r="I11" i="1"/>
  <c r="O10" i="1"/>
  <c r="N10" i="1"/>
  <c r="M10" i="1"/>
  <c r="L10" i="1"/>
  <c r="K10" i="1"/>
  <c r="J10" i="1"/>
  <c r="P10" i="1" s="1"/>
  <c r="I10" i="1"/>
  <c r="O9" i="1"/>
  <c r="N9" i="1"/>
  <c r="M9" i="1"/>
  <c r="L9" i="1"/>
  <c r="K9" i="1"/>
  <c r="J9" i="1"/>
  <c r="P9" i="1" s="1"/>
  <c r="I9" i="1"/>
  <c r="O8" i="1"/>
  <c r="N8" i="1"/>
  <c r="M8" i="1"/>
  <c r="L8" i="1"/>
  <c r="K8" i="1"/>
  <c r="J8" i="1"/>
  <c r="P8" i="1" s="1"/>
  <c r="I8" i="1"/>
  <c r="O7" i="1"/>
  <c r="N7" i="1"/>
  <c r="M7" i="1"/>
  <c r="L7" i="1"/>
  <c r="K7" i="1"/>
  <c r="J7" i="1"/>
  <c r="P7" i="1" s="1"/>
  <c r="I7" i="1"/>
  <c r="O6" i="1"/>
  <c r="N6" i="1"/>
  <c r="M6" i="1"/>
  <c r="L6" i="1"/>
  <c r="K6" i="1"/>
  <c r="J6" i="1"/>
  <c r="P6" i="1" s="1"/>
  <c r="I6" i="1"/>
  <c r="O5" i="1"/>
  <c r="N5" i="1"/>
  <c r="M5" i="1"/>
  <c r="L5" i="1"/>
  <c r="K5" i="1"/>
  <c r="J5" i="1"/>
  <c r="P5" i="1" s="1"/>
  <c r="I5" i="1"/>
  <c r="P70" i="1" l="1"/>
  <c r="P78" i="1"/>
  <c r="P86" i="1"/>
  <c r="P94" i="1"/>
  <c r="P102" i="1"/>
  <c r="P110" i="1"/>
  <c r="P118" i="1"/>
  <c r="P126" i="1"/>
  <c r="P134" i="1"/>
  <c r="P142" i="1"/>
  <c r="P69" i="1"/>
  <c r="P77" i="1"/>
  <c r="P85" i="1"/>
  <c r="P93" i="1"/>
  <c r="P101" i="1"/>
  <c r="P109" i="1"/>
  <c r="P117" i="1"/>
  <c r="P125" i="1"/>
  <c r="P133" i="1"/>
  <c r="P68" i="1"/>
  <c r="P76" i="1"/>
  <c r="P84" i="1"/>
  <c r="P92" i="1"/>
  <c r="P100" i="1"/>
  <c r="P108" i="1"/>
  <c r="P116" i="1"/>
  <c r="P124" i="1"/>
  <c r="P132" i="1"/>
  <c r="P140" i="1"/>
  <c r="P67" i="1"/>
  <c r="P75" i="1"/>
  <c r="P83" i="1"/>
  <c r="P91" i="1"/>
  <c r="P99" i="1"/>
  <c r="P107" i="1"/>
  <c r="P115" i="1"/>
  <c r="P123" i="1"/>
  <c r="P131" i="1"/>
  <c r="P139" i="1"/>
  <c r="P66" i="1"/>
  <c r="P74" i="1"/>
  <c r="P82" i="1"/>
  <c r="P90" i="1"/>
  <c r="P98" i="1"/>
  <c r="P106" i="1"/>
  <c r="P114" i="1"/>
  <c r="P122" i="1"/>
  <c r="P130" i="1"/>
  <c r="P138" i="1"/>
  <c r="P65" i="1"/>
  <c r="P73" i="1"/>
  <c r="P81" i="1"/>
  <c r="P89" i="1"/>
  <c r="P97" i="1"/>
  <c r="P105" i="1"/>
  <c r="P113" i="1"/>
  <c r="P121" i="1"/>
  <c r="P129" i="1"/>
  <c r="P137" i="1"/>
  <c r="P72" i="1"/>
  <c r="P80" i="1"/>
  <c r="P88" i="1"/>
  <c r="P96" i="1"/>
  <c r="P104" i="1"/>
  <c r="P112" i="1"/>
  <c r="P120" i="1"/>
  <c r="P128" i="1"/>
  <c r="P136" i="1"/>
</calcChain>
</file>

<file path=xl/sharedStrings.xml><?xml version="1.0" encoding="utf-8"?>
<sst xmlns="http://schemas.openxmlformats.org/spreadsheetml/2006/main" count="316" uniqueCount="191">
  <si>
    <t>Supplementary Table S3: Growth rate change of cell lines by bacterial cells</t>
  </si>
  <si>
    <t>Bacterial cells</t>
  </si>
  <si>
    <t>growth rates</t>
  </si>
  <si>
    <t>growth rates (z-scores)</t>
  </si>
  <si>
    <t>Bacteria</t>
  </si>
  <si>
    <t>Family</t>
  </si>
  <si>
    <t>Caco2</t>
  </si>
  <si>
    <t>HT29</t>
  </si>
  <si>
    <t>HCT15</t>
  </si>
  <si>
    <t>SW480</t>
  </si>
  <si>
    <t>HEK293T</t>
  </si>
  <si>
    <t>HCT116</t>
  </si>
  <si>
    <t xml:space="preserve">Average </t>
  </si>
  <si>
    <t>Caco2-z</t>
  </si>
  <si>
    <t>HT29-z</t>
  </si>
  <si>
    <t>HCT15-z</t>
  </si>
  <si>
    <t>SW480-z</t>
  </si>
  <si>
    <t>HEK293T-z</t>
  </si>
  <si>
    <t>HCT116-z</t>
  </si>
  <si>
    <t>Caco2-p</t>
  </si>
  <si>
    <t>HT29-p</t>
  </si>
  <si>
    <t>HCT15-p</t>
  </si>
  <si>
    <t>SW480-p</t>
  </si>
  <si>
    <t>HEK293T-p</t>
  </si>
  <si>
    <t>HCT116-p</t>
  </si>
  <si>
    <t>Acidaminococcus sp. D21</t>
  </si>
  <si>
    <t>Acidaminococcaceae</t>
  </si>
  <si>
    <t>Akkermansia muciniphila</t>
  </si>
  <si>
    <t>Akkermansiaceae</t>
  </si>
  <si>
    <t>Bacteroides dorei 5_1_36/D4</t>
  </si>
  <si>
    <t>Bacteroidaceae</t>
  </si>
  <si>
    <t>Bacteroides eggerthii 1_2_48FAA</t>
  </si>
  <si>
    <t>Bacteroides fragilis 3_1_12</t>
  </si>
  <si>
    <t>Bacteroides fragilis 86-5443-2-2 (ETBF)</t>
  </si>
  <si>
    <t>Bacteroides fragilis 9343 delta cap</t>
  </si>
  <si>
    <t>Bacteroides fragilis 9343 delta cap delta pilus 77</t>
  </si>
  <si>
    <t>Bacteroides fragilis 9343 delta tsr 15 M4</t>
  </si>
  <si>
    <t>Bacteroides fragilis K570 clinda R (ETBF)</t>
  </si>
  <si>
    <t>Bacteroides fragilis NCTC 9343 (NTBF)</t>
  </si>
  <si>
    <t>Bacteroides fragilis VPI clinda R (ETBF)</t>
  </si>
  <si>
    <t>Bacteroides massiliensis 3972 T(B)2</t>
  </si>
  <si>
    <t>Bacteroides ovatus 3_8_47FAA</t>
  </si>
  <si>
    <t>Bacteroides ovatus 3725 D9 iii</t>
  </si>
  <si>
    <t>Bacteroides ovatus S47R17</t>
  </si>
  <si>
    <t>Bacteroides sp. 1_1_14</t>
  </si>
  <si>
    <t>Bacteroides sp. 1_1_30</t>
  </si>
  <si>
    <t>Bacteroides sp. 1_1_6</t>
  </si>
  <si>
    <t>Bacteroides sp. 2_1_16</t>
  </si>
  <si>
    <t>Bacteroides sp. 2_1_22</t>
  </si>
  <si>
    <t>Bacteroides sp. 2_1_33B</t>
  </si>
  <si>
    <t>Bacteroides sp. 2_1_56FAA</t>
  </si>
  <si>
    <t>Bacteroides sp. 2_2_4</t>
  </si>
  <si>
    <t>Bacteroides sp. 3_1_19</t>
  </si>
  <si>
    <t>Bacteroides sp. 3_1_23</t>
  </si>
  <si>
    <t>Bacteroides sp. 3_1_33FAA</t>
  </si>
  <si>
    <t>Bacteroides sp. 3_1_40A</t>
  </si>
  <si>
    <t>Bacteroides sp. 3_2_5</t>
  </si>
  <si>
    <t>Bacteroides sp. 4_1_36</t>
  </si>
  <si>
    <t>Bacteroides sp. 4_3_47FAA</t>
  </si>
  <si>
    <t>Bacteroides sp. 9_1_42FAA</t>
  </si>
  <si>
    <t>Bacteroides sp. D1</t>
  </si>
  <si>
    <t>Bacteroides sp. D2</t>
  </si>
  <si>
    <t>Bacteroides sp. D20</t>
  </si>
  <si>
    <t>Bacteroides sp. D22</t>
  </si>
  <si>
    <t>Bacteroides stercoris 3972 D14 (B)</t>
  </si>
  <si>
    <t>Bacteroides stercoris 4009 N(B)17</t>
  </si>
  <si>
    <t>Bacteroides thetaiotaomicron VPI5482</t>
  </si>
  <si>
    <t>Bacteroides uniformis 3978 T3i</t>
  </si>
  <si>
    <t>Bacteroides uniformis 3978 T3ii</t>
  </si>
  <si>
    <t>Bacteroides vulgatus 3775 SL(B)10iv</t>
  </si>
  <si>
    <t>Bacteroides vulgatus 3975 RP4</t>
  </si>
  <si>
    <t>Bifidobacterium sp. 12_1_47BFAA</t>
  </si>
  <si>
    <t>Bifidobacteriaceae</t>
  </si>
  <si>
    <t>Ralstonia sp. 5_2_56FAA</t>
  </si>
  <si>
    <t>Burkholderiaceae</t>
  </si>
  <si>
    <t>Ralstonia sp. 5_7_47FAA</t>
  </si>
  <si>
    <t>Desulfovibrio sp. 3_1_syn3</t>
  </si>
  <si>
    <t>Desulfovibrionaceae</t>
  </si>
  <si>
    <t>Desulfovibrio sp. 6_1_46AFAA</t>
  </si>
  <si>
    <t>Citrobacter freundii 4_7_47CFAA</t>
  </si>
  <si>
    <t>Enterobacteriaceae</t>
  </si>
  <si>
    <t>Citrobacter sp. 30_2</t>
  </si>
  <si>
    <t>Enterobacteriaceae bacterium 9_2_54FAA</t>
  </si>
  <si>
    <t>Escherichia coli 4_1_47FAA</t>
  </si>
  <si>
    <t>Escherichia coli D9</t>
  </si>
  <si>
    <t>Escherichia coli DH5 alpha pks</t>
  </si>
  <si>
    <t>Escherichia coli NC101</t>
  </si>
  <si>
    <t>Escherichia coli NC101 delta pks</t>
  </si>
  <si>
    <t>Escherichia coli Nissle 1917</t>
  </si>
  <si>
    <t>Escherichia coli PL1</t>
  </si>
  <si>
    <t>Escherichia sp. 1_1_43</t>
  </si>
  <si>
    <t>Escherichia sp. 3_2_53FAA</t>
  </si>
  <si>
    <t>Escherichia sp. 4_1_40B</t>
  </si>
  <si>
    <t>Klebsiella sp. 1_1_55</t>
  </si>
  <si>
    <t>Klebsiella sp. 4_1_44FAA</t>
  </si>
  <si>
    <t>Enterococcus saccharolyticus 30_1</t>
  </si>
  <si>
    <t>Enterococcaceae</t>
  </si>
  <si>
    <t>Coprobacillus sp. 29_1 (D6)</t>
  </si>
  <si>
    <t>Erysipelotrichaceae</t>
  </si>
  <si>
    <t>Coprobacillus sp. 3_3_56FAA</t>
  </si>
  <si>
    <t>Coprobacillus sp. 8_2_54BFAA</t>
  </si>
  <si>
    <t>Coprobacillus sp. D7</t>
  </si>
  <si>
    <t>Erysipelotrichaceae bacterium 2_2_44A</t>
  </si>
  <si>
    <t>Erysipelotrichaceae bacterium 21_3</t>
  </si>
  <si>
    <t>Erysipelotrichaceae bacterium 3_1_53</t>
  </si>
  <si>
    <t>Erysipelotrichaceae bacterium 5_2_54FAA</t>
  </si>
  <si>
    <t>Erysipelotrichaceae bacterium 6_1_45</t>
  </si>
  <si>
    <t>Eubacterium sp. 3_1_31</t>
  </si>
  <si>
    <t>Eubacteriaceae</t>
  </si>
  <si>
    <t>Fusobacterium gonidiaformans 3-1-5R</t>
  </si>
  <si>
    <t>Fusobacteriaceae</t>
  </si>
  <si>
    <t>Fusobacterium necrophorum D12</t>
  </si>
  <si>
    <t>Fusobacterium necrophorum subsp. funduliforme 1_1_36S</t>
  </si>
  <si>
    <t>Fusobacterium nucleatum subsp. animalis 11_3_2</t>
  </si>
  <si>
    <t>Fusobacterium nucleatum subsp. animalis 21_1A</t>
  </si>
  <si>
    <t>Fusobacterium nucleatum subsp. animalis 3_1_33</t>
  </si>
  <si>
    <t>Fusobacterium nucleatum subsp. animalis 7_1</t>
  </si>
  <si>
    <t>Fusobacterium nucleatum subsp. animalis D11</t>
  </si>
  <si>
    <t>Fusobacterium nucleatum subsp. Nucleatum ATCC 25586</t>
  </si>
  <si>
    <t>Fusobacterium nucleatum subsp. Polymorphum ATCC 10953</t>
  </si>
  <si>
    <t>Fusobacterium nucleatum subsp. vincentii 3_1_27</t>
  </si>
  <si>
    <t>Fusobacterium nucleatum subsp. vincentii 3_1_36A2</t>
  </si>
  <si>
    <t>Fusobacterium nucleatum subsp. vincentii 4_1_13</t>
  </si>
  <si>
    <t>Fusobacterium periodonticum 1_1_41FAA</t>
  </si>
  <si>
    <t>Fusobacterium periodonticum 2_1_31</t>
  </si>
  <si>
    <t>Fusobacterium ulcerans 12-1B</t>
  </si>
  <si>
    <t>Dorea formicigenerans 4_6_53AFAA</t>
  </si>
  <si>
    <t>Lachnospiraceae</t>
  </si>
  <si>
    <t>Lachnospiraceae bacterium 1_1_57FAA</t>
  </si>
  <si>
    <t>Lachnospiraceae bacterium 2_1_46FAA</t>
  </si>
  <si>
    <t>Lachnospiraceae bacterium 2_1_58FAA</t>
  </si>
  <si>
    <t>Lachnospiraceae bacterium 3_1_46FAA</t>
  </si>
  <si>
    <t>Lachnospiraceae bacterium 3_1_57FAA_CT1</t>
  </si>
  <si>
    <t>Lachnospiraceae bacterium 4_1_37FAA</t>
  </si>
  <si>
    <t>Lachnospiraceae bacterium 5_1_57FAA</t>
  </si>
  <si>
    <t>Lachnospiraceae bacterium 5_1_63FAA</t>
  </si>
  <si>
    <t>Lachnospiraceae bacterium 8_1_57FAA</t>
  </si>
  <si>
    <t>Lachnospiraceae bacterium 9_1_43BFAA</t>
  </si>
  <si>
    <t>Lactobacillus casei Shirota</t>
  </si>
  <si>
    <t>Lactobacillaceae</t>
  </si>
  <si>
    <t>Pediococcus acidilactici 7_4</t>
  </si>
  <si>
    <t>Peptostreptococcus stomatis DSM17678</t>
  </si>
  <si>
    <t>Peptostreptococcaceae</t>
  </si>
  <si>
    <t>Propionibacterium sp. 5_U_42AFAA</t>
  </si>
  <si>
    <t>Propionibacteriaceae</t>
  </si>
  <si>
    <t>Pseudomonas sp. 2_1_26</t>
  </si>
  <si>
    <t>Pseudomonadaceae</t>
  </si>
  <si>
    <t>Ruminococcaceae bacterium D16</t>
  </si>
  <si>
    <t>Ruminococcaceae</t>
  </si>
  <si>
    <t>Streptococcus agalactiae ATCC 13813</t>
  </si>
  <si>
    <t>Streptococcaceae</t>
  </si>
  <si>
    <t>Streptococcus bovis 1067</t>
  </si>
  <si>
    <t>Streptococcus bovis 1212</t>
  </si>
  <si>
    <t>Streptococcus bovis 1293</t>
  </si>
  <si>
    <t>Streptococcus bovis 1294</t>
  </si>
  <si>
    <t>Streptococcus bovis 1361</t>
  </si>
  <si>
    <t>Streptococcus bovis 1364</t>
  </si>
  <si>
    <t>Streptococcus bovis 1365</t>
  </si>
  <si>
    <t>Streptococcus bovis 1417</t>
  </si>
  <si>
    <t>Streptococcus bovis 1445</t>
  </si>
  <si>
    <t>Streptococcus bovis 1459</t>
  </si>
  <si>
    <t>Streptococcus bovis 207</t>
  </si>
  <si>
    <t>Streptococcus bovis 992</t>
  </si>
  <si>
    <t>Streptococcus bovis NCTC8133</t>
  </si>
  <si>
    <t>Streptococcus bovis NTB22</t>
  </si>
  <si>
    <t>Streptococcus bovis NTB7</t>
  </si>
  <si>
    <t>Streptococcus gallolyticus 9L-1503 1121 L</t>
  </si>
  <si>
    <t>Streptococcus gallolyticus NTB1</t>
  </si>
  <si>
    <t>Streptococcus gallolyticus NTB11</t>
  </si>
  <si>
    <t>Streptococcus gallolyticus NTB12</t>
  </si>
  <si>
    <t>Streptococcus gallolyticus NTB4</t>
  </si>
  <si>
    <t>Streptococcus gallolyticus subsp. macedonicus NTB3</t>
  </si>
  <si>
    <t>Streptococcus gallolyticus UCN34</t>
  </si>
  <si>
    <t>Streptococcus gallolyticus UCN50</t>
  </si>
  <si>
    <t>Streptococcus macedonicus 19AS</t>
  </si>
  <si>
    <t>Streptococcus macedonicus 33MO</t>
  </si>
  <si>
    <t>Streptococcus macedonicus 8SP</t>
  </si>
  <si>
    <t>Streptococcus macedonicus ACA-DC 205</t>
  </si>
  <si>
    <t>Streptococcus macedonicus CIP105685T</t>
  </si>
  <si>
    <t>Streptococcus salivarius NTB2</t>
  </si>
  <si>
    <t>Streptococcus sp. 2_1_36FAA</t>
  </si>
  <si>
    <t>Synergistes sp. 3_1_syn1</t>
  </si>
  <si>
    <t>Synergistaceae</t>
  </si>
  <si>
    <t>Parabacteroides distasonis 3776 Po2 i</t>
  </si>
  <si>
    <t>Tannerellaceae</t>
  </si>
  <si>
    <t>Parabacteroides distasonis 3999B T(B)4</t>
  </si>
  <si>
    <t>Parabacteroides sp. 2_1_7</t>
  </si>
  <si>
    <t>Parabacteroides sp. 20_3</t>
  </si>
  <si>
    <t>Parabacteroides sp. D13</t>
  </si>
  <si>
    <t>Veillonella sp. 3_1_44</t>
  </si>
  <si>
    <t>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</si>
</sst>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1"/>
      <color theme="1"/>
      <name val="Calibri"/>
    </font>
    <font>
      <b/>
      <sz val="11"/>
      <color theme="1"/>
      <name val="Arial"/>
    </font>
    <font>
      <sz val="10"/>
      <color rgb="FF1F497D"/>
      <name val="Arial"/>
    </font>
    <font>
      <sz val="10"/>
      <color theme="1"/>
      <name val="Arial"/>
    </font>
    <font>
      <sz val="9"/>
      <color rgb="FF1F497D"/>
      <name val="Arial"/>
    </font>
    <font>
      <b/>
      <sz val="11"/>
      <color theme="1"/>
      <name val="Calibri"/>
    </font>
  </fonts>
  <fills count="260">
    <fill>
      <patternFill patternType="none"/>
    </fill>
    <fill>
      <patternFill patternType="gray125"/>
    </fill>
    <fill>
      <patternFill patternType="solid">
        <fgColor rgb="FFFF4F4F"/>
        <bgColor rgb="FFFF4F4F"/>
      </patternFill>
    </fill>
    <fill>
      <patternFill patternType="solid">
        <fgColor rgb="FFFFF6F6"/>
        <bgColor rgb="FFFFF6F6"/>
      </patternFill>
    </fill>
    <fill>
      <patternFill patternType="solid">
        <fgColor rgb="FFFFF2F2"/>
        <bgColor rgb="FFFFF2F2"/>
      </patternFill>
    </fill>
    <fill>
      <patternFill patternType="solid">
        <fgColor rgb="FFEBF6FE"/>
        <bgColor rgb="FFEBF6FE"/>
      </patternFill>
    </fill>
    <fill>
      <patternFill patternType="solid">
        <fgColor rgb="FFFFC2C2"/>
        <bgColor rgb="FFFFC2C2"/>
      </patternFill>
    </fill>
    <fill>
      <patternFill patternType="solid">
        <fgColor rgb="FFCDE7FB"/>
        <bgColor rgb="FFCDE7FB"/>
      </patternFill>
    </fill>
    <fill>
      <patternFill patternType="solid">
        <fgColor rgb="FFFFAFAF"/>
        <bgColor rgb="FFFFAFAF"/>
      </patternFill>
    </fill>
    <fill>
      <patternFill patternType="solid">
        <fgColor rgb="FFE4F2FD"/>
        <bgColor rgb="FFE4F2FD"/>
      </patternFill>
    </fill>
    <fill>
      <patternFill patternType="solid">
        <fgColor rgb="FFFFF0F0"/>
        <bgColor rgb="FFFFF0F0"/>
      </patternFill>
    </fill>
    <fill>
      <patternFill patternType="solid">
        <fgColor rgb="FFFF8E8E"/>
        <bgColor rgb="FFFF8E8E"/>
      </patternFill>
    </fill>
    <fill>
      <patternFill patternType="solid">
        <fgColor rgb="FFFF6060"/>
        <bgColor rgb="FFFF6060"/>
      </patternFill>
    </fill>
    <fill>
      <patternFill patternType="solid">
        <fgColor rgb="FFFFA5A5"/>
        <bgColor rgb="FFFFA5A5"/>
      </patternFill>
    </fill>
    <fill>
      <patternFill patternType="solid">
        <fgColor rgb="FFFFC9C9"/>
        <bgColor rgb="FFFFC9C9"/>
      </patternFill>
    </fill>
    <fill>
      <patternFill patternType="solid">
        <fgColor rgb="FFFFE5E5"/>
        <bgColor rgb="FFFFE5E5"/>
      </patternFill>
    </fill>
    <fill>
      <patternFill patternType="solid">
        <fgColor rgb="FFFFD0D0"/>
        <bgColor rgb="FFFFD0D0"/>
      </patternFill>
    </fill>
    <fill>
      <patternFill patternType="solid">
        <fgColor rgb="FFEDF7FE"/>
        <bgColor rgb="FFEDF7FE"/>
      </patternFill>
    </fill>
    <fill>
      <patternFill patternType="solid">
        <fgColor rgb="FFF8FCFF"/>
        <bgColor rgb="FFF8FCFF"/>
      </patternFill>
    </fill>
    <fill>
      <patternFill patternType="solid">
        <fgColor rgb="FFFFA6A6"/>
        <bgColor rgb="FFFFA6A6"/>
      </patternFill>
    </fill>
    <fill>
      <patternFill patternType="solid">
        <fgColor rgb="FFFFB1B1"/>
        <bgColor rgb="FFFFB1B1"/>
      </patternFill>
    </fill>
    <fill>
      <patternFill patternType="solid">
        <fgColor rgb="FFFFD4D4"/>
        <bgColor rgb="FFFFD4D4"/>
      </patternFill>
    </fill>
    <fill>
      <patternFill patternType="solid">
        <fgColor rgb="FFFFCFCF"/>
        <bgColor rgb="FFFFCFCF"/>
      </patternFill>
    </fill>
    <fill>
      <patternFill patternType="solid">
        <fgColor rgb="FFEEF7FE"/>
        <bgColor rgb="FFEEF7FE"/>
      </patternFill>
    </fill>
    <fill>
      <patternFill patternType="solid">
        <fgColor rgb="FFF1F9FE"/>
        <bgColor rgb="FFF1F9FE"/>
      </patternFill>
    </fill>
    <fill>
      <patternFill patternType="solid">
        <fgColor rgb="FFFF8F8F"/>
        <bgColor rgb="FFFF8F8F"/>
      </patternFill>
    </fill>
    <fill>
      <patternFill patternType="solid">
        <fgColor rgb="FFFF5555"/>
        <bgColor rgb="FFFF5555"/>
      </patternFill>
    </fill>
    <fill>
      <patternFill patternType="solid">
        <fgColor rgb="FFFFC0C0"/>
        <bgColor rgb="FFFFC0C0"/>
      </patternFill>
    </fill>
    <fill>
      <patternFill patternType="solid">
        <fgColor rgb="FFFF6363"/>
        <bgColor rgb="FFFF6363"/>
      </patternFill>
    </fill>
    <fill>
      <patternFill patternType="solid">
        <fgColor rgb="FFFFD5D5"/>
        <bgColor rgb="FFFFD5D5"/>
      </patternFill>
    </fill>
    <fill>
      <patternFill patternType="solid">
        <fgColor rgb="FFF3FAFE"/>
        <bgColor rgb="FFF3FAFE"/>
      </patternFill>
    </fill>
    <fill>
      <patternFill patternType="solid">
        <fgColor rgb="FFFFD6D6"/>
        <bgColor rgb="FFFFD6D6"/>
      </patternFill>
    </fill>
    <fill>
      <patternFill patternType="solid">
        <fgColor rgb="FFFFEEEE"/>
        <bgColor rgb="FFFFEEEE"/>
      </patternFill>
    </fill>
    <fill>
      <patternFill patternType="solid">
        <fgColor rgb="FFD9EDFC"/>
        <bgColor rgb="FFD9EDFC"/>
      </patternFill>
    </fill>
    <fill>
      <patternFill patternType="solid">
        <fgColor rgb="FFFFB8B8"/>
        <bgColor rgb="FFFFB8B8"/>
      </patternFill>
    </fill>
    <fill>
      <patternFill patternType="solid">
        <fgColor rgb="FFFF9494"/>
        <bgColor rgb="FFFF9494"/>
      </patternFill>
    </fill>
    <fill>
      <patternFill patternType="solid">
        <fgColor rgb="FFFFC6C6"/>
        <bgColor rgb="FFFFC6C6"/>
      </patternFill>
    </fill>
    <fill>
      <patternFill patternType="solid">
        <fgColor rgb="FFFFDCDC"/>
        <bgColor rgb="FFFFDCDC"/>
      </patternFill>
    </fill>
    <fill>
      <patternFill patternType="solid">
        <fgColor rgb="FFFFE8E8"/>
        <bgColor rgb="FFFFE8E8"/>
      </patternFill>
    </fill>
    <fill>
      <patternFill patternType="solid">
        <fgColor rgb="FFDDEFFC"/>
        <bgColor rgb="FFDDEFFC"/>
      </patternFill>
    </fill>
    <fill>
      <patternFill patternType="solid">
        <fgColor rgb="FFF4FAFE"/>
        <bgColor rgb="FFF4FAFE"/>
      </patternFill>
    </fill>
    <fill>
      <patternFill patternType="solid">
        <fgColor rgb="FFFFF9F9"/>
        <bgColor rgb="FFFFF9F9"/>
      </patternFill>
    </fill>
    <fill>
      <patternFill patternType="solid">
        <fgColor rgb="FFFFC7C7"/>
        <bgColor rgb="FFFFC7C7"/>
      </patternFill>
    </fill>
    <fill>
      <patternFill patternType="solid">
        <fgColor rgb="FFC3E2FA"/>
        <bgColor rgb="FFC3E2FA"/>
      </patternFill>
    </fill>
    <fill>
      <patternFill patternType="solid">
        <fgColor rgb="FFFFF7F7"/>
        <bgColor rgb="FFFFF7F7"/>
      </patternFill>
    </fill>
    <fill>
      <patternFill patternType="solid">
        <fgColor rgb="FFFFA9A9"/>
        <bgColor rgb="FFFFA9A9"/>
      </patternFill>
    </fill>
    <fill>
      <patternFill patternType="solid">
        <fgColor rgb="FFFF9F9F"/>
        <bgColor rgb="FFFF9F9F"/>
      </patternFill>
    </fill>
    <fill>
      <patternFill patternType="solid">
        <fgColor rgb="FFFF6767"/>
        <bgColor rgb="FFFF6767"/>
      </patternFill>
    </fill>
    <fill>
      <patternFill patternType="solid">
        <fgColor rgb="FFFFFAFA"/>
        <bgColor rgb="FFFFFAFA"/>
      </patternFill>
    </fill>
    <fill>
      <patternFill patternType="solid">
        <fgColor rgb="FFFFD7D7"/>
        <bgColor rgb="FFFFD7D7"/>
      </patternFill>
    </fill>
    <fill>
      <patternFill patternType="solid">
        <fgColor rgb="FFBDDFF9"/>
        <bgColor rgb="FFBDDFF9"/>
      </patternFill>
    </fill>
    <fill>
      <patternFill patternType="solid">
        <fgColor rgb="FFFFF5F5"/>
        <bgColor rgb="FFFFF5F5"/>
      </patternFill>
    </fill>
    <fill>
      <patternFill patternType="solid">
        <fgColor rgb="FFAFD8F8"/>
        <bgColor rgb="FFAFD8F8"/>
      </patternFill>
    </fill>
    <fill>
      <patternFill patternType="solid">
        <fgColor rgb="FFFFFCFC"/>
        <bgColor rgb="FFFFFCFC"/>
      </patternFill>
    </fill>
    <fill>
      <patternFill patternType="solid">
        <fgColor rgb="FFF3F9FE"/>
        <bgColor rgb="FFF3F9FE"/>
      </patternFill>
    </fill>
    <fill>
      <patternFill patternType="solid">
        <fgColor rgb="FFFFE6E6"/>
        <bgColor rgb="FFFFE6E6"/>
      </patternFill>
    </fill>
    <fill>
      <patternFill patternType="solid">
        <fgColor rgb="FFFFDDDD"/>
        <bgColor rgb="FFFFDDDD"/>
      </patternFill>
    </fill>
    <fill>
      <patternFill patternType="solid">
        <fgColor rgb="FFFF9A9A"/>
        <bgColor rgb="FFFF9A9A"/>
      </patternFill>
    </fill>
    <fill>
      <patternFill patternType="solid">
        <fgColor rgb="FFFF8A8A"/>
        <bgColor rgb="FFFF8A8A"/>
      </patternFill>
    </fill>
    <fill>
      <patternFill patternType="solid">
        <fgColor rgb="FFFFCBCB"/>
        <bgColor rgb="FFFFCBCB"/>
      </patternFill>
    </fill>
    <fill>
      <patternFill patternType="solid">
        <fgColor rgb="FFFF8888"/>
        <bgColor rgb="FFFF8888"/>
      </patternFill>
    </fill>
    <fill>
      <patternFill patternType="solid">
        <fgColor rgb="FFFF8484"/>
        <bgColor rgb="FFFF8484"/>
      </patternFill>
    </fill>
    <fill>
      <patternFill patternType="solid">
        <fgColor rgb="FFFFEBEB"/>
        <bgColor rgb="FFFFEBEB"/>
      </patternFill>
    </fill>
    <fill>
      <patternFill patternType="solid">
        <fgColor rgb="FFFFCECE"/>
        <bgColor rgb="FFFFCECE"/>
      </patternFill>
    </fill>
    <fill>
      <patternFill patternType="solid">
        <fgColor rgb="FFFFCACA"/>
        <bgColor rgb="FFFFCACA"/>
      </patternFill>
    </fill>
    <fill>
      <patternFill patternType="solid">
        <fgColor rgb="FFFFADAD"/>
        <bgColor rgb="FFFFADAD"/>
      </patternFill>
    </fill>
    <fill>
      <patternFill patternType="solid">
        <fgColor rgb="FFFF9999"/>
        <bgColor rgb="FFFF9999"/>
      </patternFill>
    </fill>
    <fill>
      <patternFill patternType="solid">
        <fgColor rgb="FFFF9393"/>
        <bgColor rgb="FFFF9393"/>
      </patternFill>
    </fill>
    <fill>
      <patternFill patternType="solid">
        <fgColor rgb="FFFFB0B0"/>
        <bgColor rgb="FFFFB0B0"/>
      </patternFill>
    </fill>
    <fill>
      <patternFill patternType="solid">
        <fgColor rgb="FFFF6B6B"/>
        <bgColor rgb="FFFF6B6B"/>
      </patternFill>
    </fill>
    <fill>
      <patternFill patternType="solid">
        <fgColor rgb="FFFFBEBE"/>
        <bgColor rgb="FFFFBEBE"/>
      </patternFill>
    </fill>
    <fill>
      <patternFill patternType="solid">
        <fgColor rgb="FFCEE7FB"/>
        <bgColor rgb="FFCEE7FB"/>
      </patternFill>
    </fill>
    <fill>
      <patternFill patternType="solid">
        <fgColor rgb="FFF9FCFF"/>
        <bgColor rgb="FFF9FCFF"/>
      </patternFill>
    </fill>
    <fill>
      <patternFill patternType="solid">
        <fgColor rgb="FFDAEDFC"/>
        <bgColor rgb="FFDAEDFC"/>
      </patternFill>
    </fill>
    <fill>
      <patternFill patternType="solid">
        <fgColor rgb="FFF0F8FE"/>
        <bgColor rgb="FFF0F8FE"/>
      </patternFill>
    </fill>
    <fill>
      <patternFill patternType="solid">
        <fgColor rgb="FFFF9898"/>
        <bgColor rgb="FFFF9898"/>
      </patternFill>
    </fill>
    <fill>
      <patternFill patternType="solid">
        <fgColor rgb="FFFFBCBC"/>
        <bgColor rgb="FFFFBCBC"/>
      </patternFill>
    </fill>
    <fill>
      <patternFill patternType="solid">
        <fgColor rgb="FFFF9696"/>
        <bgColor rgb="FFFF9696"/>
      </patternFill>
    </fill>
    <fill>
      <patternFill patternType="solid">
        <fgColor rgb="FFFF9595"/>
        <bgColor rgb="FFFF9595"/>
      </patternFill>
    </fill>
    <fill>
      <patternFill patternType="solid">
        <fgColor rgb="FFF7FCFF"/>
        <bgColor rgb="FFF7FCFF"/>
      </patternFill>
    </fill>
    <fill>
      <patternFill patternType="solid">
        <fgColor rgb="FFA7D5F7"/>
        <bgColor rgb="FFA7D5F7"/>
      </patternFill>
    </fill>
    <fill>
      <patternFill patternType="solid">
        <fgColor rgb="FFFFF8F8"/>
        <bgColor rgb="FFFFF8F8"/>
      </patternFill>
    </fill>
    <fill>
      <patternFill patternType="solid">
        <fgColor rgb="FFD4EAFB"/>
        <bgColor rgb="FFD4EAFB"/>
      </patternFill>
    </fill>
    <fill>
      <patternFill patternType="solid">
        <fgColor rgb="FFACD7F7"/>
        <bgColor rgb="FFACD7F7"/>
      </patternFill>
    </fill>
    <fill>
      <patternFill patternType="solid">
        <fgColor rgb="FFC5E3FA"/>
        <bgColor rgb="FFC5E3FA"/>
      </patternFill>
    </fill>
    <fill>
      <patternFill patternType="solid">
        <fgColor rgb="FFC8E4FA"/>
        <bgColor rgb="FFC8E4FA"/>
      </patternFill>
    </fill>
    <fill>
      <patternFill patternType="solid">
        <fgColor rgb="FFD8ECFC"/>
        <bgColor rgb="FFD8ECFC"/>
      </patternFill>
    </fill>
    <fill>
      <patternFill patternType="solid">
        <fgColor rgb="FFEDF6FE"/>
        <bgColor rgb="FFEDF6FE"/>
      </patternFill>
    </fill>
    <fill>
      <patternFill patternType="solid">
        <fgColor rgb="FFF5FBFE"/>
        <bgColor rgb="FFF5FBFE"/>
      </patternFill>
    </fill>
    <fill>
      <patternFill patternType="solid">
        <fgColor rgb="FFF6FBFF"/>
        <bgColor rgb="FFF6FBFF"/>
      </patternFill>
    </fill>
    <fill>
      <patternFill patternType="solid">
        <fgColor rgb="FFFEFFFF"/>
        <bgColor rgb="FFFEFFFF"/>
      </patternFill>
    </fill>
    <fill>
      <patternFill patternType="solid">
        <fgColor rgb="FFFFFBFB"/>
        <bgColor rgb="FFFFFBFB"/>
      </patternFill>
    </fill>
    <fill>
      <patternFill patternType="solid">
        <fgColor rgb="FFF7FBFF"/>
        <bgColor rgb="FFF7FBFF"/>
      </patternFill>
    </fill>
    <fill>
      <patternFill patternType="solid">
        <fgColor rgb="FFFFECEC"/>
        <bgColor rgb="FFFFECEC"/>
      </patternFill>
    </fill>
    <fill>
      <patternFill patternType="solid">
        <fgColor rgb="FFF2F9FE"/>
        <bgColor rgb="FFF2F9FE"/>
      </patternFill>
    </fill>
    <fill>
      <patternFill patternType="solid">
        <fgColor rgb="FFFFFDFD"/>
        <bgColor rgb="FFFFFDFD"/>
      </patternFill>
    </fill>
    <fill>
      <patternFill patternType="solid">
        <fgColor rgb="FFCEE8FB"/>
        <bgColor rgb="FFCEE8FB"/>
      </patternFill>
    </fill>
    <fill>
      <patternFill patternType="solid">
        <fgColor rgb="FFFFE0E0"/>
        <bgColor rgb="FFFFE0E0"/>
      </patternFill>
    </fill>
    <fill>
      <patternFill patternType="solid">
        <fgColor rgb="FFFDFEFF"/>
        <bgColor rgb="FFFDFEFF"/>
      </patternFill>
    </fill>
    <fill>
      <patternFill patternType="solid">
        <fgColor rgb="FFFFE7E7"/>
        <bgColor rgb="FFFFE7E7"/>
      </patternFill>
    </fill>
    <fill>
      <patternFill patternType="solid">
        <fgColor rgb="FFFFC3C3"/>
        <bgColor rgb="FFFFC3C3"/>
      </patternFill>
    </fill>
    <fill>
      <patternFill patternType="solid">
        <fgColor rgb="FFFFE4E4"/>
        <bgColor rgb="FFFFE4E4"/>
      </patternFill>
    </fill>
    <fill>
      <patternFill patternType="solid">
        <fgColor rgb="FFFCFEFF"/>
        <bgColor rgb="FFFCFEFF"/>
      </patternFill>
    </fill>
    <fill>
      <patternFill patternType="solid">
        <fgColor rgb="FFFFDFDF"/>
        <bgColor rgb="FFFFDFDF"/>
      </patternFill>
    </fill>
    <fill>
      <patternFill patternType="solid">
        <fgColor rgb="FFFFE9E9"/>
        <bgColor rgb="FFFFE9E9"/>
      </patternFill>
    </fill>
    <fill>
      <patternFill patternType="solid">
        <fgColor rgb="FFFFD9D9"/>
        <bgColor rgb="FFFFD9D9"/>
      </patternFill>
    </fill>
    <fill>
      <patternFill patternType="solid">
        <fgColor rgb="FFFF7676"/>
        <bgColor rgb="FFFF7676"/>
      </patternFill>
    </fill>
    <fill>
      <patternFill patternType="solid">
        <fgColor rgb="FFFF9E9E"/>
        <bgColor rgb="FFFF9E9E"/>
      </patternFill>
    </fill>
    <fill>
      <patternFill patternType="solid">
        <fgColor rgb="FFE6F3FD"/>
        <bgColor rgb="FFE6F3FD"/>
      </patternFill>
    </fill>
    <fill>
      <patternFill patternType="solid">
        <fgColor rgb="FFE9F4FD"/>
        <bgColor rgb="FFE9F4FD"/>
      </patternFill>
    </fill>
    <fill>
      <patternFill patternType="solid">
        <fgColor rgb="FF9CCFF6"/>
        <bgColor rgb="FF9CCFF6"/>
      </patternFill>
    </fill>
    <fill>
      <patternFill patternType="solid">
        <fgColor rgb="FFC9E5FA"/>
        <bgColor rgb="FFC9E5FA"/>
      </patternFill>
    </fill>
    <fill>
      <patternFill patternType="solid">
        <fgColor rgb="FFCBE6FA"/>
        <bgColor rgb="FFCBE6FA"/>
      </patternFill>
    </fill>
    <fill>
      <patternFill patternType="solid">
        <fgColor rgb="FFE0F0FC"/>
        <bgColor rgb="FFE0F0FC"/>
      </patternFill>
    </fill>
    <fill>
      <patternFill patternType="solid">
        <fgColor rgb="FFE2F1FD"/>
        <bgColor rgb="FFE2F1FD"/>
      </patternFill>
    </fill>
    <fill>
      <patternFill patternType="solid">
        <fgColor rgb="FFAAD6F7"/>
        <bgColor rgb="FFAAD6F7"/>
      </patternFill>
    </fill>
    <fill>
      <patternFill patternType="solid">
        <fgColor rgb="FFB7DCF8"/>
        <bgColor rgb="FFB7DCF8"/>
      </patternFill>
    </fill>
    <fill>
      <patternFill patternType="solid">
        <fgColor rgb="FFFF5F5F"/>
        <bgColor rgb="FFFF5F5F"/>
      </patternFill>
    </fill>
    <fill>
      <patternFill patternType="solid">
        <fgColor rgb="FFC4E3FA"/>
        <bgColor rgb="FFC4E3FA"/>
      </patternFill>
    </fill>
    <fill>
      <patternFill patternType="solid">
        <fgColor rgb="FF97CDF5"/>
        <bgColor rgb="FF97CDF5"/>
      </patternFill>
    </fill>
    <fill>
      <patternFill patternType="solid">
        <fgColor rgb="FFCFE8FB"/>
        <bgColor rgb="FFCFE8FB"/>
      </patternFill>
    </fill>
    <fill>
      <patternFill patternType="solid">
        <fgColor rgb="FFE8F4FD"/>
        <bgColor rgb="FFE8F4FD"/>
      </patternFill>
    </fill>
    <fill>
      <patternFill patternType="solid">
        <fgColor rgb="FFEBF5FD"/>
        <bgColor rgb="FFEBF5FD"/>
      </patternFill>
    </fill>
    <fill>
      <patternFill patternType="solid">
        <fgColor rgb="FFE9F5FD"/>
        <bgColor rgb="FFE9F5FD"/>
      </patternFill>
    </fill>
    <fill>
      <patternFill patternType="solid">
        <fgColor rgb="FF65B4F0"/>
        <bgColor rgb="FF65B4F0"/>
      </patternFill>
    </fill>
    <fill>
      <patternFill patternType="solid">
        <fgColor rgb="FFCAE6FA"/>
        <bgColor rgb="FFCAE6FA"/>
      </patternFill>
    </fill>
    <fill>
      <patternFill patternType="solid">
        <fgColor rgb="FFFFE3E3"/>
        <bgColor rgb="FFFFE3E3"/>
      </patternFill>
    </fill>
    <fill>
      <patternFill patternType="solid">
        <fgColor rgb="FFFF9292"/>
        <bgColor rgb="FFFF9292"/>
      </patternFill>
    </fill>
    <fill>
      <patternFill patternType="solid">
        <fgColor rgb="FFFF9090"/>
        <bgColor rgb="FFFF9090"/>
      </patternFill>
    </fill>
    <fill>
      <patternFill patternType="solid">
        <fgColor rgb="FFFFA4A4"/>
        <bgColor rgb="FFFFA4A4"/>
      </patternFill>
    </fill>
    <fill>
      <patternFill patternType="solid">
        <fgColor rgb="FF8EC8F4"/>
        <bgColor rgb="FF8EC8F4"/>
      </patternFill>
    </fill>
    <fill>
      <patternFill patternType="solid">
        <fgColor rgb="FFDBEEFC"/>
        <bgColor rgb="FFDBEEFC"/>
      </patternFill>
    </fill>
    <fill>
      <patternFill patternType="solid">
        <fgColor rgb="FFA1D1F6"/>
        <bgColor rgb="FFA1D1F6"/>
      </patternFill>
    </fill>
    <fill>
      <patternFill patternType="solid">
        <fgColor rgb="FFFFCDCD"/>
        <bgColor rgb="FFFFCDCD"/>
      </patternFill>
    </fill>
    <fill>
      <patternFill patternType="solid">
        <fgColor rgb="FFF5FAFE"/>
        <bgColor rgb="FFF5FAFE"/>
      </patternFill>
    </fill>
    <fill>
      <patternFill patternType="solid">
        <fgColor rgb="FFA6D4F7"/>
        <bgColor rgb="FFA6D4F7"/>
      </patternFill>
    </fill>
    <fill>
      <patternFill patternType="solid">
        <fgColor rgb="FFC1E1F9"/>
        <bgColor rgb="FFC1E1F9"/>
      </patternFill>
    </fill>
    <fill>
      <patternFill patternType="solid">
        <fgColor rgb="FFFFC4C4"/>
        <bgColor rgb="FFFFC4C4"/>
      </patternFill>
    </fill>
    <fill>
      <patternFill patternType="solid">
        <fgColor rgb="FFFFB6B6"/>
        <bgColor rgb="FFFFB6B6"/>
      </patternFill>
    </fill>
    <fill>
      <patternFill patternType="solid">
        <fgColor rgb="FFFF7070"/>
        <bgColor rgb="FFFF7070"/>
      </patternFill>
    </fill>
    <fill>
      <patternFill patternType="solid">
        <fgColor rgb="FFD3EAFB"/>
        <bgColor rgb="FFD3EAFB"/>
      </patternFill>
    </fill>
    <fill>
      <patternFill patternType="solid">
        <fgColor rgb="FFFFFEFE"/>
        <bgColor rgb="FFFFFEFE"/>
      </patternFill>
    </fill>
    <fill>
      <patternFill patternType="solid">
        <fgColor rgb="FFFBFDFF"/>
        <bgColor rgb="FFFBFDFF"/>
      </patternFill>
    </fill>
    <fill>
      <patternFill patternType="solid">
        <fgColor rgb="FFFFB5B5"/>
        <bgColor rgb="FFFFB5B5"/>
      </patternFill>
    </fill>
    <fill>
      <patternFill patternType="solid">
        <fgColor rgb="FFE7F4FD"/>
        <bgColor rgb="FFE7F4FD"/>
      </patternFill>
    </fill>
    <fill>
      <patternFill patternType="solid">
        <fgColor rgb="FFDFF0FC"/>
        <bgColor rgb="FFDFF0FC"/>
      </patternFill>
    </fill>
    <fill>
      <patternFill patternType="solid">
        <fgColor rgb="FFE1F1FD"/>
        <bgColor rgb="FFE1F1FD"/>
      </patternFill>
    </fill>
    <fill>
      <patternFill patternType="solid">
        <fgColor rgb="FFFF6868"/>
        <bgColor rgb="FFFF6868"/>
      </patternFill>
    </fill>
    <fill>
      <patternFill patternType="solid">
        <fgColor rgb="FFFFBDBD"/>
        <bgColor rgb="FFFFBDBD"/>
      </patternFill>
    </fill>
    <fill>
      <patternFill patternType="solid">
        <fgColor rgb="FFFFDEDE"/>
        <bgColor rgb="FFFFDEDE"/>
      </patternFill>
    </fill>
    <fill>
      <patternFill patternType="solid">
        <fgColor rgb="FFFFD8D8"/>
        <bgColor rgb="FFFFD8D8"/>
      </patternFill>
    </fill>
    <fill>
      <patternFill patternType="solid">
        <fgColor rgb="FFFFD3D3"/>
        <bgColor rgb="FFFFD3D3"/>
      </patternFill>
    </fill>
    <fill>
      <patternFill patternType="solid">
        <fgColor rgb="FFE5F2FD"/>
        <bgColor rgb="FFE5F2FD"/>
      </patternFill>
    </fill>
    <fill>
      <patternFill patternType="solid">
        <fgColor rgb="FFFFF4F4"/>
        <bgColor rgb="FFFFF4F4"/>
      </patternFill>
    </fill>
    <fill>
      <patternFill patternType="solid">
        <fgColor rgb="FFEFF8FE"/>
        <bgColor rgb="FFEFF8FE"/>
      </patternFill>
    </fill>
    <fill>
      <patternFill patternType="solid">
        <fgColor rgb="FFFFEFEF"/>
        <bgColor rgb="FFFFEFEF"/>
      </patternFill>
    </fill>
    <fill>
      <patternFill patternType="solid">
        <fgColor rgb="FFFFF1F1"/>
        <bgColor rgb="FFFFF1F1"/>
      </patternFill>
    </fill>
    <fill>
      <patternFill patternType="solid">
        <fgColor rgb="FFC7E4FA"/>
        <bgColor rgb="FFC7E4FA"/>
      </patternFill>
    </fill>
    <fill>
      <patternFill patternType="solid">
        <fgColor rgb="FFA7D4F7"/>
        <bgColor rgb="FFA7D4F7"/>
      </patternFill>
    </fill>
    <fill>
      <patternFill patternType="solid">
        <fgColor rgb="FFECF6FE"/>
        <bgColor rgb="FFECF6FE"/>
      </patternFill>
    </fill>
    <fill>
      <patternFill patternType="solid">
        <fgColor rgb="FF90CAF5"/>
        <bgColor rgb="FF90CAF5"/>
      </patternFill>
    </fill>
    <fill>
      <patternFill patternType="solid">
        <fgColor rgb="FFCCE6FA"/>
        <bgColor rgb="FFCCE6FA"/>
      </patternFill>
    </fill>
    <fill>
      <patternFill patternType="solid">
        <fgColor rgb="FFD6EBFB"/>
        <bgColor rgb="FFD6EBFB"/>
      </patternFill>
    </fill>
    <fill>
      <patternFill patternType="solid">
        <fgColor rgb="FFFFEAEA"/>
        <bgColor rgb="FFFFEAEA"/>
      </patternFill>
    </fill>
    <fill>
      <patternFill patternType="solid">
        <fgColor rgb="FFAED8F8"/>
        <bgColor rgb="FFAED8F8"/>
      </patternFill>
    </fill>
    <fill>
      <patternFill patternType="solid">
        <fgColor rgb="FFD5EBFB"/>
        <bgColor rgb="FFD5EBFB"/>
      </patternFill>
    </fill>
    <fill>
      <patternFill patternType="solid">
        <fgColor rgb="FF91CAF5"/>
        <bgColor rgb="FF91CAF5"/>
      </patternFill>
    </fill>
    <fill>
      <patternFill patternType="solid">
        <fgColor rgb="FFB4DBF8"/>
        <bgColor rgb="FFB4DBF8"/>
      </patternFill>
    </fill>
    <fill>
      <patternFill patternType="solid">
        <fgColor rgb="FFA9D5F7"/>
        <bgColor rgb="FFA9D5F7"/>
      </patternFill>
    </fill>
    <fill>
      <patternFill patternType="solid">
        <fgColor rgb="FFB9DDF9"/>
        <bgColor rgb="FFB9DDF9"/>
      </patternFill>
    </fill>
    <fill>
      <patternFill patternType="solid">
        <fgColor rgb="FFD7ECFB"/>
        <bgColor rgb="FFD7ECFB"/>
      </patternFill>
    </fill>
    <fill>
      <patternFill patternType="solid">
        <fgColor rgb="FFFDFFFF"/>
        <bgColor rgb="FFFDFFFF"/>
      </patternFill>
    </fill>
    <fill>
      <patternFill patternType="solid">
        <fgColor rgb="FFFFE1E1"/>
        <bgColor rgb="FFFFE1E1"/>
      </patternFill>
    </fill>
    <fill>
      <patternFill patternType="solid">
        <fgColor rgb="FFE3F2FD"/>
        <bgColor rgb="FFE3F2FD"/>
      </patternFill>
    </fill>
    <fill>
      <patternFill patternType="solid">
        <fgColor rgb="FFFFC8C8"/>
        <bgColor rgb="FFFFC8C8"/>
      </patternFill>
    </fill>
    <fill>
      <patternFill patternType="solid">
        <fgColor rgb="FFFFD2D2"/>
        <bgColor rgb="FFFFD2D2"/>
      </patternFill>
    </fill>
    <fill>
      <patternFill patternType="solid">
        <fgColor rgb="FFDEEFFC"/>
        <bgColor rgb="FFDEEFFC"/>
      </patternFill>
    </fill>
    <fill>
      <patternFill patternType="solid">
        <fgColor rgb="FFD1E9FB"/>
        <bgColor rgb="FFD1E9FB"/>
      </patternFill>
    </fill>
    <fill>
      <patternFill patternType="solid">
        <fgColor rgb="FF94CBF5"/>
        <bgColor rgb="FF94CBF5"/>
      </patternFill>
    </fill>
    <fill>
      <patternFill patternType="solid">
        <fgColor rgb="FFF1F8FE"/>
        <bgColor rgb="FFF1F8FE"/>
      </patternFill>
    </fill>
    <fill>
      <patternFill patternType="solid">
        <fgColor rgb="FFB2DAF8"/>
        <bgColor rgb="FFB2DAF8"/>
      </patternFill>
    </fill>
    <fill>
      <patternFill patternType="solid">
        <fgColor rgb="FFBBDEF9"/>
        <bgColor rgb="FFBBDEF9"/>
      </patternFill>
    </fill>
    <fill>
      <patternFill patternType="solid">
        <fgColor rgb="FFB8DDF9"/>
        <bgColor rgb="FFB8DDF9"/>
      </patternFill>
    </fill>
    <fill>
      <patternFill patternType="solid">
        <fgColor rgb="FF9DD0F6"/>
        <bgColor rgb="FF9DD0F6"/>
      </patternFill>
    </fill>
    <fill>
      <patternFill patternType="solid">
        <fgColor rgb="FFFFE2E2"/>
        <bgColor rgb="FFFFE2E2"/>
      </patternFill>
    </fill>
    <fill>
      <patternFill patternType="solid">
        <fgColor rgb="FFFFB2B2"/>
        <bgColor rgb="FFFFB2B2"/>
      </patternFill>
    </fill>
    <fill>
      <patternFill patternType="solid">
        <fgColor rgb="FFA3D3F6"/>
        <bgColor rgb="FFA3D3F6"/>
      </patternFill>
    </fill>
    <fill>
      <patternFill patternType="solid">
        <fgColor rgb="FFA8D5F7"/>
        <bgColor rgb="FFA8D5F7"/>
      </patternFill>
    </fill>
    <fill>
      <patternFill patternType="solid">
        <fgColor rgb="FFFFF3F3"/>
        <bgColor rgb="FFFFF3F3"/>
      </patternFill>
    </fill>
    <fill>
      <patternFill patternType="solid">
        <fgColor rgb="FFDCEEFC"/>
        <bgColor rgb="FFDCEEFC"/>
      </patternFill>
    </fill>
    <fill>
      <patternFill patternType="solid">
        <fgColor rgb="FFF9FDFF"/>
        <bgColor rgb="FFF9FDFF"/>
      </patternFill>
    </fill>
    <fill>
      <patternFill patternType="solid">
        <fgColor rgb="FFBFE0F9"/>
        <bgColor rgb="FFBFE0F9"/>
      </patternFill>
    </fill>
    <fill>
      <patternFill patternType="solid">
        <fgColor rgb="FF5FB1F0"/>
        <bgColor rgb="FF5FB1F0"/>
      </patternFill>
    </fill>
    <fill>
      <patternFill patternType="solid">
        <fgColor rgb="FFA5D3F7"/>
        <bgColor rgb="FFA5D3F7"/>
      </patternFill>
    </fill>
    <fill>
      <patternFill patternType="solid">
        <fgColor rgb="FFCCE7FA"/>
        <bgColor rgb="FFCCE7FA"/>
      </patternFill>
    </fill>
    <fill>
      <patternFill patternType="solid">
        <fgColor rgb="FFBADEF9"/>
        <bgColor rgb="FFBADEF9"/>
      </patternFill>
    </fill>
    <fill>
      <patternFill patternType="solid">
        <fgColor rgb="FFD7ECFC"/>
        <bgColor rgb="FFD7ECFC"/>
      </patternFill>
    </fill>
    <fill>
      <patternFill patternType="solid">
        <fgColor rgb="FFE5F3FD"/>
        <bgColor rgb="FFE5F3FD"/>
      </patternFill>
    </fill>
    <fill>
      <patternFill patternType="solid">
        <fgColor rgb="FFD6ECFB"/>
        <bgColor rgb="FFD6ECFB"/>
      </patternFill>
    </fill>
    <fill>
      <patternFill patternType="solid">
        <fgColor rgb="FFB5DCF8"/>
        <bgColor rgb="FFB5DCF8"/>
      </patternFill>
    </fill>
    <fill>
      <patternFill patternType="solid">
        <fgColor rgb="FFA2D2F6"/>
        <bgColor rgb="FFA2D2F6"/>
      </patternFill>
    </fill>
    <fill>
      <patternFill patternType="solid">
        <fgColor rgb="FFD2E9FB"/>
        <bgColor rgb="FFD2E9FB"/>
      </patternFill>
    </fill>
    <fill>
      <patternFill patternType="solid">
        <fgColor rgb="FFFBFEFF"/>
        <bgColor rgb="FFFBFEFF"/>
      </patternFill>
    </fill>
    <fill>
      <patternFill patternType="solid">
        <fgColor rgb="FFB6DCF8"/>
        <bgColor rgb="FFB6DCF8"/>
      </patternFill>
    </fill>
    <fill>
      <patternFill patternType="solid">
        <fgColor rgb="FFFF9797"/>
        <bgColor rgb="FFFF9797"/>
      </patternFill>
    </fill>
    <fill>
      <patternFill patternType="solid">
        <fgColor rgb="FFFF7F7F"/>
        <bgColor rgb="FFFF7F7F"/>
      </patternFill>
    </fill>
    <fill>
      <patternFill patternType="solid">
        <fgColor rgb="FFFFA1A1"/>
        <bgColor rgb="FFFFA1A1"/>
      </patternFill>
    </fill>
    <fill>
      <patternFill patternType="solid">
        <fgColor rgb="FFB5DBF8"/>
        <bgColor rgb="FFB5DBF8"/>
      </patternFill>
    </fill>
    <fill>
      <patternFill patternType="solid">
        <fgColor rgb="FFFFEDED"/>
        <bgColor rgb="FFFFEDED"/>
      </patternFill>
    </fill>
    <fill>
      <patternFill patternType="solid">
        <fgColor rgb="FFB0D9F8"/>
        <bgColor rgb="FFB0D9F8"/>
      </patternFill>
    </fill>
    <fill>
      <patternFill patternType="solid">
        <fgColor rgb="FFD0E9FB"/>
        <bgColor rgb="FFD0E9FB"/>
      </patternFill>
    </fill>
    <fill>
      <patternFill patternType="solid">
        <fgColor rgb="FFD2EAFB"/>
        <bgColor rgb="FFD2EAFB"/>
      </patternFill>
    </fill>
    <fill>
      <patternFill patternType="solid">
        <fgColor rgb="FFEFF7FE"/>
        <bgColor rgb="FFEFF7FE"/>
      </patternFill>
    </fill>
    <fill>
      <patternFill patternType="solid">
        <fgColor rgb="FFFFFFFF"/>
        <bgColor rgb="FFFFFFFF"/>
      </patternFill>
    </fill>
    <fill>
      <patternFill patternType="solid">
        <fgColor rgb="FFCAE5FA"/>
        <bgColor rgb="FFCAE5FA"/>
      </patternFill>
    </fill>
    <fill>
      <patternFill patternType="solid">
        <fgColor rgb="FFFF9D9D"/>
        <bgColor rgb="FFFF9D9D"/>
      </patternFill>
    </fill>
    <fill>
      <patternFill patternType="solid">
        <fgColor rgb="FF8DC8F4"/>
        <bgColor rgb="FF8DC8F4"/>
      </patternFill>
    </fill>
    <fill>
      <patternFill patternType="solid">
        <fgColor rgb="FFB3DAF8"/>
        <bgColor rgb="FFB3DAF8"/>
      </patternFill>
    </fill>
    <fill>
      <patternFill patternType="solid">
        <fgColor rgb="FFD8EDFC"/>
        <bgColor rgb="FFD8EDFC"/>
      </patternFill>
    </fill>
    <fill>
      <patternFill patternType="solid">
        <fgColor rgb="FFEAF5FD"/>
        <bgColor rgb="FFEAF5FD"/>
      </patternFill>
    </fill>
    <fill>
      <patternFill patternType="solid">
        <fgColor rgb="FFFFA2A2"/>
        <bgColor rgb="FFFFA2A2"/>
      </patternFill>
    </fill>
    <fill>
      <patternFill patternType="solid">
        <fgColor rgb="FFD0E8FB"/>
        <bgColor rgb="FFD0E8FB"/>
      </patternFill>
    </fill>
    <fill>
      <patternFill patternType="solid">
        <fgColor rgb="FFE3F1FD"/>
        <bgColor rgb="FFE3F1FD"/>
      </patternFill>
    </fill>
    <fill>
      <patternFill patternType="solid">
        <fgColor rgb="FFB1D9F8"/>
        <bgColor rgb="FFB1D9F8"/>
      </patternFill>
    </fill>
    <fill>
      <patternFill patternType="solid">
        <fgColor rgb="FFB8DDF8"/>
        <bgColor rgb="FFB8DDF8"/>
      </patternFill>
    </fill>
    <fill>
      <patternFill patternType="solid">
        <fgColor rgb="FFA0D1F6"/>
        <bgColor rgb="FFA0D1F6"/>
      </patternFill>
    </fill>
    <fill>
      <patternFill patternType="solid">
        <fgColor rgb="FF90C9F5"/>
        <bgColor rgb="FF90C9F5"/>
      </patternFill>
    </fill>
    <fill>
      <patternFill patternType="solid">
        <fgColor rgb="FFFFC1C1"/>
        <bgColor rgb="FFFFC1C1"/>
      </patternFill>
    </fill>
    <fill>
      <patternFill patternType="solid">
        <fgColor rgb="FF9ED0F6"/>
        <bgColor rgb="FF9ED0F6"/>
      </patternFill>
    </fill>
    <fill>
      <patternFill patternType="solid">
        <fgColor rgb="FFC4E2FA"/>
        <bgColor rgb="FFC4E2FA"/>
      </patternFill>
    </fill>
    <fill>
      <patternFill patternType="solid">
        <fgColor rgb="FFC8E5FA"/>
        <bgColor rgb="FFC8E5FA"/>
      </patternFill>
    </fill>
    <fill>
      <patternFill patternType="solid">
        <fgColor rgb="FFBCDFF9"/>
        <bgColor rgb="FFBCDFF9"/>
      </patternFill>
    </fill>
    <fill>
      <patternFill patternType="solid">
        <fgColor rgb="FFFAFDFF"/>
        <bgColor rgb="FFFAFDFF"/>
      </patternFill>
    </fill>
    <fill>
      <patternFill patternType="solid">
        <fgColor rgb="FF9FD1F6"/>
        <bgColor rgb="FF9FD1F6"/>
      </patternFill>
    </fill>
    <fill>
      <patternFill patternType="solid">
        <fgColor rgb="FFA1D2F6"/>
        <bgColor rgb="FFA1D2F6"/>
      </patternFill>
    </fill>
    <fill>
      <patternFill patternType="solid">
        <fgColor rgb="FFA4D3F7"/>
        <bgColor rgb="FFA4D3F7"/>
      </patternFill>
    </fill>
    <fill>
      <patternFill patternType="solid">
        <fgColor rgb="FF92CAF5"/>
        <bgColor rgb="FF92CAF5"/>
      </patternFill>
    </fill>
    <fill>
      <patternFill patternType="solid">
        <fgColor rgb="FF8BC7F4"/>
        <bgColor rgb="FF8BC7F4"/>
      </patternFill>
    </fill>
    <fill>
      <patternFill patternType="solid">
        <fgColor rgb="FFA3D2F6"/>
        <bgColor rgb="FFA3D2F6"/>
      </patternFill>
    </fill>
    <fill>
      <patternFill patternType="solid">
        <fgColor rgb="FFFFBBBB"/>
        <bgColor rgb="FFFFBBBB"/>
      </patternFill>
    </fill>
    <fill>
      <patternFill patternType="solid">
        <fgColor rgb="FFFFB7B7"/>
        <bgColor rgb="FFFFB7B7"/>
      </patternFill>
    </fill>
    <fill>
      <patternFill patternType="solid">
        <fgColor rgb="FFA5D4F7"/>
        <bgColor rgb="FFA5D4F7"/>
      </patternFill>
    </fill>
    <fill>
      <patternFill patternType="solid">
        <fgColor rgb="FFC2E2FA"/>
        <bgColor rgb="FFC2E2FA"/>
      </patternFill>
    </fill>
    <fill>
      <patternFill patternType="solid">
        <fgColor rgb="FFFFBABA"/>
        <bgColor rgb="FFFFBABA"/>
      </patternFill>
    </fill>
    <fill>
      <patternFill patternType="solid">
        <fgColor rgb="FFC2E1F9"/>
        <bgColor rgb="FFC2E1F9"/>
      </patternFill>
    </fill>
    <fill>
      <patternFill patternType="solid">
        <fgColor rgb="FFFF8080"/>
        <bgColor rgb="FFFF8080"/>
      </patternFill>
    </fill>
    <fill>
      <patternFill patternType="solid">
        <fgColor rgb="FFFFDBDB"/>
        <bgColor rgb="FFFFDBDB"/>
      </patternFill>
    </fill>
    <fill>
      <patternFill patternType="solid">
        <fgColor rgb="FF7ABFF2"/>
        <bgColor rgb="FF7ABFF2"/>
      </patternFill>
    </fill>
    <fill>
      <patternFill patternType="solid">
        <fgColor rgb="FF88C6F4"/>
        <bgColor rgb="FF88C6F4"/>
      </patternFill>
    </fill>
    <fill>
      <patternFill patternType="solid">
        <fgColor rgb="FF99CDF5"/>
        <bgColor rgb="FF99CDF5"/>
      </patternFill>
    </fill>
    <fill>
      <patternFill patternType="solid">
        <fgColor rgb="FFFFD1D1"/>
        <bgColor rgb="FFFFD1D1"/>
      </patternFill>
    </fill>
    <fill>
      <patternFill patternType="solid">
        <fgColor rgb="FFADD8F7"/>
        <bgColor rgb="FFADD8F7"/>
      </patternFill>
    </fill>
    <fill>
      <patternFill patternType="solid">
        <fgColor rgb="FFF5FBFF"/>
        <bgColor rgb="FFF5FBFF"/>
      </patternFill>
    </fill>
    <fill>
      <patternFill patternType="solid">
        <fgColor rgb="FFFFAEAE"/>
        <bgColor rgb="FFFFAEAE"/>
      </patternFill>
    </fill>
    <fill>
      <patternFill patternType="solid">
        <fgColor rgb="FF7FC1F3"/>
        <bgColor rgb="FF7FC1F3"/>
      </patternFill>
    </fill>
    <fill>
      <patternFill patternType="solid">
        <fgColor rgb="FF96CCF5"/>
        <bgColor rgb="FF96CCF5"/>
      </patternFill>
    </fill>
    <fill>
      <patternFill patternType="solid">
        <fgColor rgb="FFE7F3FD"/>
        <bgColor rgb="FFE7F3FD"/>
      </patternFill>
    </fill>
    <fill>
      <patternFill patternType="solid">
        <fgColor rgb="FF8AC6F4"/>
        <bgColor rgb="FF8AC6F4"/>
      </patternFill>
    </fill>
    <fill>
      <patternFill patternType="solid">
        <fgColor rgb="FFC2E2F9"/>
        <bgColor rgb="FFC2E2F9"/>
      </patternFill>
    </fill>
    <fill>
      <patternFill patternType="solid">
        <fgColor rgb="FFC0E1F9"/>
        <bgColor rgb="FFC0E1F9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1F497D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1F497D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4" fillId="0" borderId="1" xfId="0" applyFont="1" applyBorder="1"/>
    <xf numFmtId="0" fontId="3" fillId="0" borderId="3" xfId="0" applyFont="1" applyBorder="1"/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3" fillId="0" borderId="0" xfId="0" applyFont="1"/>
    <xf numFmtId="0" fontId="6" fillId="0" borderId="10" xfId="0" applyFont="1" applyBorder="1" applyAlignment="1">
      <alignment horizontal="left" vertical="center"/>
    </xf>
    <xf numFmtId="0" fontId="7" fillId="11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center" vertical="center"/>
    </xf>
    <xf numFmtId="0" fontId="7" fillId="19" borderId="10" xfId="0" applyFont="1" applyFill="1" applyBorder="1" applyAlignment="1">
      <alignment horizontal="center" vertical="center"/>
    </xf>
    <xf numFmtId="0" fontId="7" fillId="20" borderId="10" xfId="0" applyFont="1" applyFill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/>
    </xf>
    <xf numFmtId="0" fontId="7" fillId="22" borderId="10" xfId="0" applyFont="1" applyFill="1" applyBorder="1" applyAlignment="1">
      <alignment horizontal="center" vertical="center"/>
    </xf>
    <xf numFmtId="0" fontId="7" fillId="23" borderId="10" xfId="0" applyFont="1" applyFill="1" applyBorder="1" applyAlignment="1">
      <alignment horizontal="center" vertical="center"/>
    </xf>
    <xf numFmtId="0" fontId="7" fillId="24" borderId="10" xfId="0" applyFont="1" applyFill="1" applyBorder="1" applyAlignment="1">
      <alignment horizontal="center" vertical="center"/>
    </xf>
    <xf numFmtId="0" fontId="7" fillId="25" borderId="10" xfId="0" applyFont="1" applyFill="1" applyBorder="1" applyAlignment="1">
      <alignment horizontal="center" vertical="center"/>
    </xf>
    <xf numFmtId="0" fontId="7" fillId="26" borderId="10" xfId="0" applyFont="1" applyFill="1" applyBorder="1" applyAlignment="1">
      <alignment horizontal="center" vertical="center"/>
    </xf>
    <xf numFmtId="0" fontId="7" fillId="27" borderId="10" xfId="0" applyFont="1" applyFill="1" applyBorder="1" applyAlignment="1">
      <alignment horizontal="center" vertical="center"/>
    </xf>
    <xf numFmtId="0" fontId="7" fillId="28" borderId="10" xfId="0" applyFont="1" applyFill="1" applyBorder="1" applyAlignment="1">
      <alignment horizontal="center" vertical="center"/>
    </xf>
    <xf numFmtId="0" fontId="7" fillId="29" borderId="10" xfId="0" applyFont="1" applyFill="1" applyBorder="1" applyAlignment="1">
      <alignment horizontal="center" vertical="center"/>
    </xf>
    <xf numFmtId="0" fontId="7" fillId="30" borderId="10" xfId="0" applyFont="1" applyFill="1" applyBorder="1" applyAlignment="1">
      <alignment horizontal="center" vertical="center"/>
    </xf>
    <xf numFmtId="0" fontId="7" fillId="31" borderId="10" xfId="0" applyFont="1" applyFill="1" applyBorder="1" applyAlignment="1">
      <alignment horizontal="center" vertical="center"/>
    </xf>
    <xf numFmtId="0" fontId="7" fillId="32" borderId="10" xfId="0" applyFont="1" applyFill="1" applyBorder="1" applyAlignment="1">
      <alignment horizontal="center" vertical="center"/>
    </xf>
    <xf numFmtId="0" fontId="7" fillId="33" borderId="10" xfId="0" applyFont="1" applyFill="1" applyBorder="1" applyAlignment="1">
      <alignment horizontal="center" vertical="center"/>
    </xf>
    <xf numFmtId="0" fontId="7" fillId="34" borderId="10" xfId="0" applyFont="1" applyFill="1" applyBorder="1" applyAlignment="1">
      <alignment horizontal="center" vertical="center"/>
    </xf>
    <xf numFmtId="0" fontId="7" fillId="35" borderId="10" xfId="0" applyFont="1" applyFill="1" applyBorder="1" applyAlignment="1">
      <alignment horizontal="center" vertical="center"/>
    </xf>
    <xf numFmtId="0" fontId="7" fillId="36" borderId="10" xfId="0" applyFont="1" applyFill="1" applyBorder="1" applyAlignment="1">
      <alignment horizontal="center" vertical="center"/>
    </xf>
    <xf numFmtId="0" fontId="7" fillId="37" borderId="10" xfId="0" applyFont="1" applyFill="1" applyBorder="1" applyAlignment="1">
      <alignment horizontal="center" vertical="center"/>
    </xf>
    <xf numFmtId="0" fontId="7" fillId="38" borderId="10" xfId="0" applyFont="1" applyFill="1" applyBorder="1" applyAlignment="1">
      <alignment horizontal="center" vertical="center"/>
    </xf>
    <xf numFmtId="0" fontId="7" fillId="39" borderId="10" xfId="0" applyFont="1" applyFill="1" applyBorder="1" applyAlignment="1">
      <alignment horizontal="center" vertical="center"/>
    </xf>
    <xf numFmtId="0" fontId="7" fillId="40" borderId="10" xfId="0" applyFont="1" applyFill="1" applyBorder="1" applyAlignment="1">
      <alignment horizontal="center" vertical="center"/>
    </xf>
    <xf numFmtId="0" fontId="7" fillId="41" borderId="10" xfId="0" applyFont="1" applyFill="1" applyBorder="1" applyAlignment="1">
      <alignment horizontal="center" vertical="center"/>
    </xf>
    <xf numFmtId="0" fontId="7" fillId="42" borderId="10" xfId="0" applyFont="1" applyFill="1" applyBorder="1" applyAlignment="1">
      <alignment horizontal="center" vertical="center"/>
    </xf>
    <xf numFmtId="0" fontId="7" fillId="43" borderId="10" xfId="0" applyFont="1" applyFill="1" applyBorder="1" applyAlignment="1">
      <alignment horizontal="center" vertical="center"/>
    </xf>
    <xf numFmtId="0" fontId="7" fillId="44" borderId="10" xfId="0" applyFont="1" applyFill="1" applyBorder="1" applyAlignment="1">
      <alignment horizontal="center" vertical="center"/>
    </xf>
    <xf numFmtId="0" fontId="7" fillId="45" borderId="10" xfId="0" applyFont="1" applyFill="1" applyBorder="1" applyAlignment="1">
      <alignment horizontal="center" vertical="center"/>
    </xf>
    <xf numFmtId="0" fontId="7" fillId="46" borderId="10" xfId="0" applyFont="1" applyFill="1" applyBorder="1" applyAlignment="1">
      <alignment horizontal="center" vertical="center"/>
    </xf>
    <xf numFmtId="0" fontId="7" fillId="47" borderId="10" xfId="0" applyFont="1" applyFill="1" applyBorder="1" applyAlignment="1">
      <alignment horizontal="center" vertical="center"/>
    </xf>
    <xf numFmtId="0" fontId="7" fillId="48" borderId="10" xfId="0" applyFont="1" applyFill="1" applyBorder="1" applyAlignment="1">
      <alignment horizontal="center" vertical="center"/>
    </xf>
    <xf numFmtId="0" fontId="7" fillId="49" borderId="10" xfId="0" applyFont="1" applyFill="1" applyBorder="1" applyAlignment="1">
      <alignment horizontal="center" vertical="center"/>
    </xf>
    <xf numFmtId="0" fontId="7" fillId="50" borderId="10" xfId="0" applyFont="1" applyFill="1" applyBorder="1" applyAlignment="1">
      <alignment horizontal="center" vertical="center"/>
    </xf>
    <xf numFmtId="0" fontId="8" fillId="0" borderId="0" xfId="0" applyFont="1"/>
    <xf numFmtId="0" fontId="7" fillId="51" borderId="10" xfId="0" applyFont="1" applyFill="1" applyBorder="1" applyAlignment="1">
      <alignment horizontal="center" vertical="center"/>
    </xf>
    <xf numFmtId="0" fontId="7" fillId="52" borderId="10" xfId="0" applyFont="1" applyFill="1" applyBorder="1" applyAlignment="1">
      <alignment horizontal="center" vertical="center"/>
    </xf>
    <xf numFmtId="0" fontId="7" fillId="53" borderId="10" xfId="0" applyFont="1" applyFill="1" applyBorder="1" applyAlignment="1">
      <alignment horizontal="center" vertical="center"/>
    </xf>
    <xf numFmtId="0" fontId="7" fillId="54" borderId="10" xfId="0" applyFont="1" applyFill="1" applyBorder="1" applyAlignment="1">
      <alignment horizontal="center" vertical="center"/>
    </xf>
    <xf numFmtId="0" fontId="7" fillId="55" borderId="10" xfId="0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7" fillId="57" borderId="10" xfId="0" applyFont="1" applyFill="1" applyBorder="1" applyAlignment="1">
      <alignment horizontal="center" vertical="center"/>
    </xf>
    <xf numFmtId="0" fontId="7" fillId="58" borderId="10" xfId="0" applyFont="1" applyFill="1" applyBorder="1" applyAlignment="1">
      <alignment horizontal="center" vertical="center"/>
    </xf>
    <xf numFmtId="0" fontId="7" fillId="59" borderId="10" xfId="0" applyFont="1" applyFill="1" applyBorder="1" applyAlignment="1">
      <alignment horizontal="center" vertical="center"/>
    </xf>
    <xf numFmtId="0" fontId="7" fillId="60" borderId="10" xfId="0" applyFont="1" applyFill="1" applyBorder="1" applyAlignment="1">
      <alignment horizontal="center" vertical="center"/>
    </xf>
    <xf numFmtId="0" fontId="7" fillId="61" borderId="10" xfId="0" applyFont="1" applyFill="1" applyBorder="1" applyAlignment="1">
      <alignment horizontal="center" vertical="center"/>
    </xf>
    <xf numFmtId="0" fontId="7" fillId="62" borderId="10" xfId="0" applyFont="1" applyFill="1" applyBorder="1" applyAlignment="1">
      <alignment horizontal="center" vertical="center"/>
    </xf>
    <xf numFmtId="0" fontId="7" fillId="63" borderId="10" xfId="0" applyFont="1" applyFill="1" applyBorder="1" applyAlignment="1">
      <alignment horizontal="center" vertical="center"/>
    </xf>
    <xf numFmtId="0" fontId="7" fillId="64" borderId="10" xfId="0" applyFont="1" applyFill="1" applyBorder="1" applyAlignment="1">
      <alignment horizontal="center" vertical="center"/>
    </xf>
    <xf numFmtId="0" fontId="7" fillId="65" borderId="10" xfId="0" applyFont="1" applyFill="1" applyBorder="1" applyAlignment="1">
      <alignment horizontal="center" vertical="center"/>
    </xf>
    <xf numFmtId="0" fontId="7" fillId="66" borderId="10" xfId="0" applyFont="1" applyFill="1" applyBorder="1" applyAlignment="1">
      <alignment horizontal="center" vertical="center"/>
    </xf>
    <xf numFmtId="0" fontId="7" fillId="67" borderId="10" xfId="0" applyFont="1" applyFill="1" applyBorder="1" applyAlignment="1">
      <alignment horizontal="center" vertical="center"/>
    </xf>
    <xf numFmtId="0" fontId="7" fillId="68" borderId="10" xfId="0" applyFont="1" applyFill="1" applyBorder="1" applyAlignment="1">
      <alignment horizontal="center" vertical="center"/>
    </xf>
    <xf numFmtId="0" fontId="7" fillId="69" borderId="10" xfId="0" applyFont="1" applyFill="1" applyBorder="1" applyAlignment="1">
      <alignment horizontal="center" vertical="center"/>
    </xf>
    <xf numFmtId="0" fontId="7" fillId="70" borderId="10" xfId="0" applyFont="1" applyFill="1" applyBorder="1" applyAlignment="1">
      <alignment horizontal="center" vertical="center"/>
    </xf>
    <xf numFmtId="0" fontId="7" fillId="71" borderId="10" xfId="0" applyFont="1" applyFill="1" applyBorder="1" applyAlignment="1">
      <alignment horizontal="center" vertical="center"/>
    </xf>
    <xf numFmtId="0" fontId="7" fillId="72" borderId="10" xfId="0" applyFont="1" applyFill="1" applyBorder="1" applyAlignment="1">
      <alignment horizontal="center" vertical="center"/>
    </xf>
    <xf numFmtId="0" fontId="7" fillId="73" borderId="10" xfId="0" applyFont="1" applyFill="1" applyBorder="1" applyAlignment="1">
      <alignment horizontal="center" vertical="center"/>
    </xf>
    <xf numFmtId="0" fontId="7" fillId="74" borderId="10" xfId="0" applyFont="1" applyFill="1" applyBorder="1" applyAlignment="1">
      <alignment horizontal="center" vertical="center"/>
    </xf>
    <xf numFmtId="0" fontId="7" fillId="75" borderId="10" xfId="0" applyFont="1" applyFill="1" applyBorder="1" applyAlignment="1">
      <alignment horizontal="center" vertical="center"/>
    </xf>
    <xf numFmtId="0" fontId="7" fillId="76" borderId="10" xfId="0" applyFont="1" applyFill="1" applyBorder="1" applyAlignment="1">
      <alignment horizontal="center" vertical="center"/>
    </xf>
    <xf numFmtId="0" fontId="7" fillId="77" borderId="10" xfId="0" applyFont="1" applyFill="1" applyBorder="1" applyAlignment="1">
      <alignment horizontal="center" vertical="center"/>
    </xf>
    <xf numFmtId="0" fontId="7" fillId="78" borderId="10" xfId="0" applyFont="1" applyFill="1" applyBorder="1" applyAlignment="1">
      <alignment horizontal="center" vertical="center"/>
    </xf>
    <xf numFmtId="0" fontId="7" fillId="79" borderId="10" xfId="0" applyFont="1" applyFill="1" applyBorder="1" applyAlignment="1">
      <alignment horizontal="center" vertical="center"/>
    </xf>
    <xf numFmtId="0" fontId="7" fillId="80" borderId="10" xfId="0" applyFont="1" applyFill="1" applyBorder="1" applyAlignment="1">
      <alignment horizontal="center" vertical="center"/>
    </xf>
    <xf numFmtId="0" fontId="7" fillId="81" borderId="10" xfId="0" applyFont="1" applyFill="1" applyBorder="1" applyAlignment="1">
      <alignment horizontal="center" vertical="center"/>
    </xf>
    <xf numFmtId="0" fontId="7" fillId="82" borderId="10" xfId="0" applyFont="1" applyFill="1" applyBorder="1" applyAlignment="1">
      <alignment horizontal="center" vertical="center"/>
    </xf>
    <xf numFmtId="0" fontId="7" fillId="83" borderId="10" xfId="0" applyFont="1" applyFill="1" applyBorder="1" applyAlignment="1">
      <alignment horizontal="center" vertical="center"/>
    </xf>
    <xf numFmtId="0" fontId="7" fillId="84" borderId="10" xfId="0" applyFont="1" applyFill="1" applyBorder="1" applyAlignment="1">
      <alignment horizontal="center" vertical="center"/>
    </xf>
    <xf numFmtId="0" fontId="7" fillId="85" borderId="10" xfId="0" applyFont="1" applyFill="1" applyBorder="1" applyAlignment="1">
      <alignment horizontal="center" vertical="center"/>
    </xf>
    <xf numFmtId="0" fontId="7" fillId="86" borderId="10" xfId="0" applyFont="1" applyFill="1" applyBorder="1" applyAlignment="1">
      <alignment horizontal="center" vertical="center"/>
    </xf>
    <xf numFmtId="0" fontId="7" fillId="87" borderId="10" xfId="0" applyFont="1" applyFill="1" applyBorder="1" applyAlignment="1">
      <alignment horizontal="center" vertical="center"/>
    </xf>
    <xf numFmtId="0" fontId="7" fillId="88" borderId="10" xfId="0" applyFont="1" applyFill="1" applyBorder="1" applyAlignment="1">
      <alignment horizontal="center" vertical="center"/>
    </xf>
    <xf numFmtId="0" fontId="7" fillId="89" borderId="10" xfId="0" applyFont="1" applyFill="1" applyBorder="1" applyAlignment="1">
      <alignment horizontal="center" vertical="center"/>
    </xf>
    <xf numFmtId="0" fontId="7" fillId="90" borderId="10" xfId="0" applyFont="1" applyFill="1" applyBorder="1" applyAlignment="1">
      <alignment horizontal="center" vertical="center"/>
    </xf>
    <xf numFmtId="0" fontId="7" fillId="91" borderId="10" xfId="0" applyFont="1" applyFill="1" applyBorder="1" applyAlignment="1">
      <alignment horizontal="center" vertical="center"/>
    </xf>
    <xf numFmtId="0" fontId="7" fillId="92" borderId="10" xfId="0" applyFont="1" applyFill="1" applyBorder="1" applyAlignment="1">
      <alignment horizontal="center" vertical="center"/>
    </xf>
    <xf numFmtId="0" fontId="7" fillId="93" borderId="10" xfId="0" applyFont="1" applyFill="1" applyBorder="1" applyAlignment="1">
      <alignment horizontal="center" vertical="center"/>
    </xf>
    <xf numFmtId="0" fontId="7" fillId="94" borderId="10" xfId="0" applyFont="1" applyFill="1" applyBorder="1" applyAlignment="1">
      <alignment horizontal="center" vertical="center"/>
    </xf>
    <xf numFmtId="0" fontId="7" fillId="95" borderId="10" xfId="0" applyFont="1" applyFill="1" applyBorder="1" applyAlignment="1">
      <alignment horizontal="center" vertical="center"/>
    </xf>
    <xf numFmtId="0" fontId="7" fillId="96" borderId="10" xfId="0" applyFont="1" applyFill="1" applyBorder="1" applyAlignment="1">
      <alignment horizontal="center" vertical="center"/>
    </xf>
    <xf numFmtId="0" fontId="7" fillId="97" borderId="10" xfId="0" applyFont="1" applyFill="1" applyBorder="1" applyAlignment="1">
      <alignment horizontal="center" vertical="center"/>
    </xf>
    <xf numFmtId="0" fontId="7" fillId="98" borderId="10" xfId="0" applyFont="1" applyFill="1" applyBorder="1" applyAlignment="1">
      <alignment horizontal="center" vertical="center"/>
    </xf>
    <xf numFmtId="0" fontId="7" fillId="99" borderId="10" xfId="0" applyFont="1" applyFill="1" applyBorder="1" applyAlignment="1">
      <alignment horizontal="center" vertical="center"/>
    </xf>
    <xf numFmtId="0" fontId="7" fillId="100" borderId="10" xfId="0" applyFont="1" applyFill="1" applyBorder="1" applyAlignment="1">
      <alignment horizontal="center" vertical="center"/>
    </xf>
    <xf numFmtId="0" fontId="7" fillId="101" borderId="10" xfId="0" applyFont="1" applyFill="1" applyBorder="1" applyAlignment="1">
      <alignment horizontal="center" vertical="center"/>
    </xf>
    <xf numFmtId="0" fontId="7" fillId="102" borderId="10" xfId="0" applyFont="1" applyFill="1" applyBorder="1" applyAlignment="1">
      <alignment horizontal="center" vertical="center"/>
    </xf>
    <xf numFmtId="0" fontId="7" fillId="103" borderId="10" xfId="0" applyFont="1" applyFill="1" applyBorder="1" applyAlignment="1">
      <alignment horizontal="center" vertical="center"/>
    </xf>
    <xf numFmtId="0" fontId="7" fillId="104" borderId="10" xfId="0" applyFont="1" applyFill="1" applyBorder="1" applyAlignment="1">
      <alignment horizontal="center" vertical="center"/>
    </xf>
    <xf numFmtId="0" fontId="7" fillId="105" borderId="10" xfId="0" applyFont="1" applyFill="1" applyBorder="1" applyAlignment="1">
      <alignment horizontal="center" vertical="center"/>
    </xf>
    <xf numFmtId="0" fontId="7" fillId="106" borderId="10" xfId="0" applyFont="1" applyFill="1" applyBorder="1" applyAlignment="1">
      <alignment horizontal="center" vertical="center"/>
    </xf>
    <xf numFmtId="0" fontId="7" fillId="107" borderId="10" xfId="0" applyFont="1" applyFill="1" applyBorder="1" applyAlignment="1">
      <alignment horizontal="center" vertical="center"/>
    </xf>
    <xf numFmtId="0" fontId="7" fillId="108" borderId="10" xfId="0" applyFont="1" applyFill="1" applyBorder="1" applyAlignment="1">
      <alignment horizontal="center" vertical="center"/>
    </xf>
    <xf numFmtId="0" fontId="7" fillId="109" borderId="10" xfId="0" applyFont="1" applyFill="1" applyBorder="1" applyAlignment="1">
      <alignment horizontal="center" vertical="center"/>
    </xf>
    <xf numFmtId="0" fontId="7" fillId="110" borderId="10" xfId="0" applyFont="1" applyFill="1" applyBorder="1" applyAlignment="1">
      <alignment horizontal="center" vertical="center"/>
    </xf>
    <xf numFmtId="0" fontId="7" fillId="111" borderId="10" xfId="0" applyFont="1" applyFill="1" applyBorder="1" applyAlignment="1">
      <alignment horizontal="center" vertical="center"/>
    </xf>
    <xf numFmtId="0" fontId="7" fillId="112" borderId="10" xfId="0" applyFont="1" applyFill="1" applyBorder="1" applyAlignment="1">
      <alignment horizontal="center" vertical="center"/>
    </xf>
    <xf numFmtId="0" fontId="7" fillId="113" borderId="10" xfId="0" applyFont="1" applyFill="1" applyBorder="1" applyAlignment="1">
      <alignment horizontal="center" vertical="center"/>
    </xf>
    <xf numFmtId="0" fontId="7" fillId="114" borderId="10" xfId="0" applyFont="1" applyFill="1" applyBorder="1" applyAlignment="1">
      <alignment horizontal="center" vertical="center"/>
    </xf>
    <xf numFmtId="0" fontId="7" fillId="115" borderId="10" xfId="0" applyFont="1" applyFill="1" applyBorder="1" applyAlignment="1">
      <alignment horizontal="center" vertical="center"/>
    </xf>
    <xf numFmtId="0" fontId="7" fillId="116" borderId="10" xfId="0" applyFont="1" applyFill="1" applyBorder="1" applyAlignment="1">
      <alignment horizontal="center" vertical="center"/>
    </xf>
    <xf numFmtId="0" fontId="7" fillId="117" borderId="10" xfId="0" applyFont="1" applyFill="1" applyBorder="1" applyAlignment="1">
      <alignment horizontal="center" vertical="center"/>
    </xf>
    <xf numFmtId="0" fontId="7" fillId="118" borderId="10" xfId="0" applyFont="1" applyFill="1" applyBorder="1" applyAlignment="1">
      <alignment horizontal="center" vertical="center"/>
    </xf>
    <xf numFmtId="0" fontId="7" fillId="119" borderId="10" xfId="0" applyFont="1" applyFill="1" applyBorder="1" applyAlignment="1">
      <alignment horizontal="center" vertical="center"/>
    </xf>
    <xf numFmtId="0" fontId="7" fillId="120" borderId="10" xfId="0" applyFont="1" applyFill="1" applyBorder="1" applyAlignment="1">
      <alignment horizontal="center" vertical="center"/>
    </xf>
    <xf numFmtId="0" fontId="7" fillId="121" borderId="10" xfId="0" applyFont="1" applyFill="1" applyBorder="1" applyAlignment="1">
      <alignment horizontal="center" vertical="center"/>
    </xf>
    <xf numFmtId="0" fontId="7" fillId="122" borderId="10" xfId="0" applyFont="1" applyFill="1" applyBorder="1" applyAlignment="1">
      <alignment horizontal="center" vertical="center"/>
    </xf>
    <xf numFmtId="0" fontId="7" fillId="123" borderId="10" xfId="0" applyFont="1" applyFill="1" applyBorder="1" applyAlignment="1">
      <alignment horizontal="center" vertical="center"/>
    </xf>
    <xf numFmtId="0" fontId="7" fillId="124" borderId="10" xfId="0" applyFont="1" applyFill="1" applyBorder="1" applyAlignment="1">
      <alignment horizontal="center" vertical="center"/>
    </xf>
    <xf numFmtId="0" fontId="7" fillId="125" borderId="10" xfId="0" applyFont="1" applyFill="1" applyBorder="1" applyAlignment="1">
      <alignment horizontal="center" vertical="center"/>
    </xf>
    <xf numFmtId="0" fontId="7" fillId="126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127" borderId="10" xfId="0" applyFont="1" applyFill="1" applyBorder="1" applyAlignment="1">
      <alignment horizontal="center" vertical="center"/>
    </xf>
    <xf numFmtId="0" fontId="7" fillId="128" borderId="10" xfId="0" applyFont="1" applyFill="1" applyBorder="1" applyAlignment="1">
      <alignment horizontal="center" vertical="center"/>
    </xf>
    <xf numFmtId="0" fontId="7" fillId="129" borderId="10" xfId="0" applyFont="1" applyFill="1" applyBorder="1" applyAlignment="1">
      <alignment horizontal="center" vertical="center"/>
    </xf>
    <xf numFmtId="0" fontId="7" fillId="130" borderId="10" xfId="0" applyFont="1" applyFill="1" applyBorder="1" applyAlignment="1">
      <alignment horizontal="center" vertical="center"/>
    </xf>
    <xf numFmtId="0" fontId="7" fillId="131" borderId="10" xfId="0" applyFont="1" applyFill="1" applyBorder="1" applyAlignment="1">
      <alignment horizontal="center" vertical="center"/>
    </xf>
    <xf numFmtId="0" fontId="7" fillId="132" borderId="10" xfId="0" applyFont="1" applyFill="1" applyBorder="1" applyAlignment="1">
      <alignment horizontal="center" vertical="center"/>
    </xf>
    <xf numFmtId="0" fontId="7" fillId="133" borderId="10" xfId="0" applyFont="1" applyFill="1" applyBorder="1" applyAlignment="1">
      <alignment horizontal="center" vertical="center"/>
    </xf>
    <xf numFmtId="0" fontId="7" fillId="134" borderId="10" xfId="0" applyFont="1" applyFill="1" applyBorder="1" applyAlignment="1">
      <alignment horizontal="center" vertical="center"/>
    </xf>
    <xf numFmtId="0" fontId="7" fillId="135" borderId="10" xfId="0" applyFont="1" applyFill="1" applyBorder="1" applyAlignment="1">
      <alignment horizontal="center" vertical="center"/>
    </xf>
    <xf numFmtId="0" fontId="7" fillId="136" borderId="10" xfId="0" applyFont="1" applyFill="1" applyBorder="1" applyAlignment="1">
      <alignment horizontal="center" vertical="center"/>
    </xf>
    <xf numFmtId="0" fontId="7" fillId="137" borderId="10" xfId="0" applyFont="1" applyFill="1" applyBorder="1" applyAlignment="1">
      <alignment horizontal="center" vertical="center"/>
    </xf>
    <xf numFmtId="0" fontId="7" fillId="138" borderId="10" xfId="0" applyFont="1" applyFill="1" applyBorder="1" applyAlignment="1">
      <alignment horizontal="center" vertical="center"/>
    </xf>
    <xf numFmtId="0" fontId="7" fillId="139" borderId="10" xfId="0" applyFont="1" applyFill="1" applyBorder="1" applyAlignment="1">
      <alignment horizontal="center" vertical="center"/>
    </xf>
    <xf numFmtId="0" fontId="7" fillId="140" borderId="10" xfId="0" applyFont="1" applyFill="1" applyBorder="1" applyAlignment="1">
      <alignment horizontal="center" vertical="center"/>
    </xf>
    <xf numFmtId="0" fontId="7" fillId="141" borderId="10" xfId="0" applyFont="1" applyFill="1" applyBorder="1" applyAlignment="1">
      <alignment horizontal="center" vertical="center"/>
    </xf>
    <xf numFmtId="0" fontId="7" fillId="142" borderId="10" xfId="0" applyFont="1" applyFill="1" applyBorder="1" applyAlignment="1">
      <alignment horizontal="center" vertical="center"/>
    </xf>
    <xf numFmtId="0" fontId="7" fillId="143" borderId="10" xfId="0" applyFont="1" applyFill="1" applyBorder="1" applyAlignment="1">
      <alignment horizontal="center" vertical="center"/>
    </xf>
    <xf numFmtId="0" fontId="7" fillId="144" borderId="10" xfId="0" applyFont="1" applyFill="1" applyBorder="1" applyAlignment="1">
      <alignment horizontal="center" vertical="center"/>
    </xf>
    <xf numFmtId="0" fontId="7" fillId="145" borderId="10" xfId="0" applyFont="1" applyFill="1" applyBorder="1" applyAlignment="1">
      <alignment horizontal="center" vertical="center"/>
    </xf>
    <xf numFmtId="0" fontId="7" fillId="146" borderId="10" xfId="0" applyFont="1" applyFill="1" applyBorder="1" applyAlignment="1">
      <alignment horizontal="center" vertical="center"/>
    </xf>
    <xf numFmtId="0" fontId="7" fillId="147" borderId="10" xfId="0" applyFont="1" applyFill="1" applyBorder="1" applyAlignment="1">
      <alignment horizontal="center" vertical="center"/>
    </xf>
    <xf numFmtId="0" fontId="7" fillId="148" borderId="10" xfId="0" applyFont="1" applyFill="1" applyBorder="1" applyAlignment="1">
      <alignment horizontal="center" vertical="center"/>
    </xf>
    <xf numFmtId="0" fontId="7" fillId="149" borderId="10" xfId="0" applyFont="1" applyFill="1" applyBorder="1" applyAlignment="1">
      <alignment horizontal="center" vertical="center"/>
    </xf>
    <xf numFmtId="0" fontId="7" fillId="150" borderId="10" xfId="0" applyFont="1" applyFill="1" applyBorder="1" applyAlignment="1">
      <alignment horizontal="center" vertical="center"/>
    </xf>
    <xf numFmtId="0" fontId="7" fillId="151" borderId="10" xfId="0" applyFont="1" applyFill="1" applyBorder="1" applyAlignment="1">
      <alignment horizontal="center" vertical="center"/>
    </xf>
    <xf numFmtId="0" fontId="7" fillId="152" borderId="10" xfId="0" applyFont="1" applyFill="1" applyBorder="1" applyAlignment="1">
      <alignment horizontal="center" vertical="center"/>
    </xf>
    <xf numFmtId="0" fontId="7" fillId="153" borderId="10" xfId="0" applyFont="1" applyFill="1" applyBorder="1" applyAlignment="1">
      <alignment horizontal="center" vertical="center"/>
    </xf>
    <xf numFmtId="0" fontId="7" fillId="154" borderId="10" xfId="0" applyFont="1" applyFill="1" applyBorder="1" applyAlignment="1">
      <alignment horizontal="center" vertical="center"/>
    </xf>
    <xf numFmtId="0" fontId="7" fillId="155" borderId="10" xfId="0" applyFont="1" applyFill="1" applyBorder="1" applyAlignment="1">
      <alignment horizontal="center" vertical="center"/>
    </xf>
    <xf numFmtId="0" fontId="7" fillId="156" borderId="10" xfId="0" applyFont="1" applyFill="1" applyBorder="1" applyAlignment="1">
      <alignment horizontal="center" vertical="center"/>
    </xf>
    <xf numFmtId="0" fontId="7" fillId="157" borderId="10" xfId="0" applyFont="1" applyFill="1" applyBorder="1" applyAlignment="1">
      <alignment horizontal="center" vertical="center"/>
    </xf>
    <xf numFmtId="0" fontId="7" fillId="158" borderId="10" xfId="0" applyFont="1" applyFill="1" applyBorder="1" applyAlignment="1">
      <alignment horizontal="center" vertical="center"/>
    </xf>
    <xf numFmtId="0" fontId="7" fillId="159" borderId="10" xfId="0" applyFont="1" applyFill="1" applyBorder="1" applyAlignment="1">
      <alignment horizontal="center" vertical="center"/>
    </xf>
    <xf numFmtId="0" fontId="7" fillId="160" borderId="10" xfId="0" applyFont="1" applyFill="1" applyBorder="1" applyAlignment="1">
      <alignment horizontal="center" vertical="center"/>
    </xf>
    <xf numFmtId="0" fontId="7" fillId="161" borderId="10" xfId="0" applyFont="1" applyFill="1" applyBorder="1" applyAlignment="1">
      <alignment horizontal="center" vertical="center"/>
    </xf>
    <xf numFmtId="0" fontId="7" fillId="162" borderId="10" xfId="0" applyFont="1" applyFill="1" applyBorder="1" applyAlignment="1">
      <alignment horizontal="center" vertical="center"/>
    </xf>
    <xf numFmtId="0" fontId="7" fillId="163" borderId="10" xfId="0" applyFont="1" applyFill="1" applyBorder="1" applyAlignment="1">
      <alignment horizontal="center" vertical="center"/>
    </xf>
    <xf numFmtId="0" fontId="7" fillId="164" borderId="10" xfId="0" applyFont="1" applyFill="1" applyBorder="1" applyAlignment="1">
      <alignment horizontal="center" vertical="center"/>
    </xf>
    <xf numFmtId="0" fontId="7" fillId="165" borderId="10" xfId="0" applyFont="1" applyFill="1" applyBorder="1" applyAlignment="1">
      <alignment horizontal="center" vertical="center"/>
    </xf>
    <xf numFmtId="0" fontId="7" fillId="166" borderId="10" xfId="0" applyFont="1" applyFill="1" applyBorder="1" applyAlignment="1">
      <alignment horizontal="center" vertical="center"/>
    </xf>
    <xf numFmtId="0" fontId="7" fillId="167" borderId="10" xfId="0" applyFont="1" applyFill="1" applyBorder="1" applyAlignment="1">
      <alignment horizontal="center" vertical="center"/>
    </xf>
    <xf numFmtId="0" fontId="7" fillId="168" borderId="10" xfId="0" applyFont="1" applyFill="1" applyBorder="1" applyAlignment="1">
      <alignment horizontal="center" vertical="center"/>
    </xf>
    <xf numFmtId="0" fontId="7" fillId="169" borderId="10" xfId="0" applyFont="1" applyFill="1" applyBorder="1" applyAlignment="1">
      <alignment horizontal="center" vertical="center"/>
    </xf>
    <xf numFmtId="0" fontId="7" fillId="170" borderId="10" xfId="0" applyFont="1" applyFill="1" applyBorder="1" applyAlignment="1">
      <alignment horizontal="center" vertical="center"/>
    </xf>
    <xf numFmtId="0" fontId="7" fillId="171" borderId="10" xfId="0" applyFont="1" applyFill="1" applyBorder="1" applyAlignment="1">
      <alignment horizontal="center" vertical="center"/>
    </xf>
    <xf numFmtId="0" fontId="7" fillId="172" borderId="10" xfId="0" applyFont="1" applyFill="1" applyBorder="1" applyAlignment="1">
      <alignment horizontal="center" vertical="center"/>
    </xf>
    <xf numFmtId="0" fontId="7" fillId="173" borderId="10" xfId="0" applyFont="1" applyFill="1" applyBorder="1" applyAlignment="1">
      <alignment horizontal="center" vertical="center"/>
    </xf>
    <xf numFmtId="0" fontId="7" fillId="174" borderId="10" xfId="0" applyFont="1" applyFill="1" applyBorder="1" applyAlignment="1">
      <alignment horizontal="center" vertical="center"/>
    </xf>
    <xf numFmtId="0" fontId="7" fillId="175" borderId="10" xfId="0" applyFont="1" applyFill="1" applyBorder="1" applyAlignment="1">
      <alignment horizontal="center" vertical="center"/>
    </xf>
    <xf numFmtId="0" fontId="7" fillId="176" borderId="10" xfId="0" applyFont="1" applyFill="1" applyBorder="1" applyAlignment="1">
      <alignment horizontal="center" vertical="center"/>
    </xf>
    <xf numFmtId="0" fontId="7" fillId="177" borderId="10" xfId="0" applyFont="1" applyFill="1" applyBorder="1" applyAlignment="1">
      <alignment horizontal="center" vertical="center"/>
    </xf>
    <xf numFmtId="0" fontId="7" fillId="178" borderId="10" xfId="0" applyFont="1" applyFill="1" applyBorder="1" applyAlignment="1">
      <alignment horizontal="center" vertical="center"/>
    </xf>
    <xf numFmtId="0" fontId="7" fillId="179" borderId="10" xfId="0" applyFont="1" applyFill="1" applyBorder="1" applyAlignment="1">
      <alignment horizontal="center" vertical="center"/>
    </xf>
    <xf numFmtId="0" fontId="7" fillId="180" borderId="10" xfId="0" applyFont="1" applyFill="1" applyBorder="1" applyAlignment="1">
      <alignment horizontal="center" vertical="center"/>
    </xf>
    <xf numFmtId="0" fontId="7" fillId="181" borderId="10" xfId="0" applyFont="1" applyFill="1" applyBorder="1" applyAlignment="1">
      <alignment horizontal="center" vertical="center"/>
    </xf>
    <xf numFmtId="0" fontId="7" fillId="182" borderId="10" xfId="0" applyFont="1" applyFill="1" applyBorder="1" applyAlignment="1">
      <alignment horizontal="center" vertical="center"/>
    </xf>
    <xf numFmtId="0" fontId="7" fillId="183" borderId="10" xfId="0" applyFont="1" applyFill="1" applyBorder="1" applyAlignment="1">
      <alignment horizontal="center" vertical="center"/>
    </xf>
    <xf numFmtId="0" fontId="7" fillId="184" borderId="10" xfId="0" applyFont="1" applyFill="1" applyBorder="1" applyAlignment="1">
      <alignment horizontal="center" vertical="center"/>
    </xf>
    <xf numFmtId="0" fontId="7" fillId="185" borderId="10" xfId="0" applyFont="1" applyFill="1" applyBorder="1" applyAlignment="1">
      <alignment horizontal="center" vertical="center"/>
    </xf>
    <xf numFmtId="0" fontId="7" fillId="186" borderId="10" xfId="0" applyFont="1" applyFill="1" applyBorder="1" applyAlignment="1">
      <alignment horizontal="center" vertical="center"/>
    </xf>
    <xf numFmtId="0" fontId="7" fillId="187" borderId="10" xfId="0" applyFont="1" applyFill="1" applyBorder="1" applyAlignment="1">
      <alignment horizontal="center" vertical="center"/>
    </xf>
    <xf numFmtId="0" fontId="7" fillId="188" borderId="10" xfId="0" applyFont="1" applyFill="1" applyBorder="1" applyAlignment="1">
      <alignment horizontal="center" vertical="center"/>
    </xf>
    <xf numFmtId="0" fontId="7" fillId="189" borderId="10" xfId="0" applyFont="1" applyFill="1" applyBorder="1" applyAlignment="1">
      <alignment horizontal="center" vertical="center"/>
    </xf>
    <xf numFmtId="0" fontId="7" fillId="190" borderId="10" xfId="0" applyFont="1" applyFill="1" applyBorder="1" applyAlignment="1">
      <alignment horizontal="center" vertical="center"/>
    </xf>
    <xf numFmtId="0" fontId="7" fillId="191" borderId="10" xfId="0" applyFont="1" applyFill="1" applyBorder="1" applyAlignment="1">
      <alignment horizontal="center" vertical="center"/>
    </xf>
    <xf numFmtId="0" fontId="7" fillId="192" borderId="10" xfId="0" applyFont="1" applyFill="1" applyBorder="1" applyAlignment="1">
      <alignment horizontal="center" vertical="center"/>
    </xf>
    <xf numFmtId="0" fontId="7" fillId="193" borderId="10" xfId="0" applyFont="1" applyFill="1" applyBorder="1" applyAlignment="1">
      <alignment horizontal="center" vertical="center"/>
    </xf>
    <xf numFmtId="0" fontId="7" fillId="194" borderId="10" xfId="0" applyFont="1" applyFill="1" applyBorder="1" applyAlignment="1">
      <alignment horizontal="center" vertical="center"/>
    </xf>
    <xf numFmtId="0" fontId="7" fillId="195" borderId="10" xfId="0" applyFont="1" applyFill="1" applyBorder="1" applyAlignment="1">
      <alignment horizontal="center" vertical="center"/>
    </xf>
    <xf numFmtId="0" fontId="7" fillId="196" borderId="10" xfId="0" applyFont="1" applyFill="1" applyBorder="1" applyAlignment="1">
      <alignment horizontal="center" vertical="center"/>
    </xf>
    <xf numFmtId="0" fontId="7" fillId="197" borderId="10" xfId="0" applyFont="1" applyFill="1" applyBorder="1" applyAlignment="1">
      <alignment horizontal="center" vertical="center"/>
    </xf>
    <xf numFmtId="0" fontId="7" fillId="198" borderId="10" xfId="0" applyFont="1" applyFill="1" applyBorder="1" applyAlignment="1">
      <alignment horizontal="center" vertical="center"/>
    </xf>
    <xf numFmtId="0" fontId="7" fillId="199" borderId="10" xfId="0" applyFont="1" applyFill="1" applyBorder="1" applyAlignment="1">
      <alignment horizontal="center" vertical="center"/>
    </xf>
    <xf numFmtId="0" fontId="7" fillId="200" borderId="10" xfId="0" applyFont="1" applyFill="1" applyBorder="1" applyAlignment="1">
      <alignment horizontal="center" vertical="center"/>
    </xf>
    <xf numFmtId="0" fontId="7" fillId="201" borderId="10" xfId="0" applyFont="1" applyFill="1" applyBorder="1" applyAlignment="1">
      <alignment horizontal="center" vertical="center"/>
    </xf>
    <xf numFmtId="0" fontId="7" fillId="202" borderId="10" xfId="0" applyFont="1" applyFill="1" applyBorder="1" applyAlignment="1">
      <alignment horizontal="center" vertical="center"/>
    </xf>
    <xf numFmtId="0" fontId="7" fillId="203" borderId="10" xfId="0" applyFont="1" applyFill="1" applyBorder="1" applyAlignment="1">
      <alignment horizontal="center" vertical="center"/>
    </xf>
    <xf numFmtId="0" fontId="7" fillId="204" borderId="10" xfId="0" applyFont="1" applyFill="1" applyBorder="1" applyAlignment="1">
      <alignment horizontal="center" vertical="center"/>
    </xf>
    <xf numFmtId="0" fontId="7" fillId="205" borderId="10" xfId="0" applyFont="1" applyFill="1" applyBorder="1" applyAlignment="1">
      <alignment horizontal="center" vertical="center"/>
    </xf>
    <xf numFmtId="0" fontId="7" fillId="206" borderId="10" xfId="0" applyFont="1" applyFill="1" applyBorder="1" applyAlignment="1">
      <alignment horizontal="center" vertical="center"/>
    </xf>
    <xf numFmtId="0" fontId="7" fillId="207" borderId="10" xfId="0" applyFont="1" applyFill="1" applyBorder="1" applyAlignment="1">
      <alignment horizontal="center" vertical="center"/>
    </xf>
    <xf numFmtId="0" fontId="7" fillId="208" borderId="10" xfId="0" applyFont="1" applyFill="1" applyBorder="1" applyAlignment="1">
      <alignment horizontal="center" vertical="center"/>
    </xf>
    <xf numFmtId="0" fontId="7" fillId="209" borderId="10" xfId="0" applyFont="1" applyFill="1" applyBorder="1" applyAlignment="1">
      <alignment horizontal="center" vertical="center"/>
    </xf>
    <xf numFmtId="0" fontId="7" fillId="210" borderId="10" xfId="0" applyFont="1" applyFill="1" applyBorder="1" applyAlignment="1">
      <alignment horizontal="center" vertical="center"/>
    </xf>
    <xf numFmtId="0" fontId="7" fillId="211" borderId="10" xfId="0" applyFont="1" applyFill="1" applyBorder="1" applyAlignment="1">
      <alignment horizontal="center" vertical="center"/>
    </xf>
    <xf numFmtId="0" fontId="7" fillId="212" borderId="10" xfId="0" applyFont="1" applyFill="1" applyBorder="1" applyAlignment="1">
      <alignment horizontal="center" vertical="center"/>
    </xf>
    <xf numFmtId="0" fontId="7" fillId="213" borderId="10" xfId="0" applyFont="1" applyFill="1" applyBorder="1" applyAlignment="1">
      <alignment horizontal="center" vertical="center"/>
    </xf>
    <xf numFmtId="0" fontId="7" fillId="214" borderId="10" xfId="0" applyFont="1" applyFill="1" applyBorder="1" applyAlignment="1">
      <alignment horizontal="center" vertical="center"/>
    </xf>
    <xf numFmtId="0" fontId="7" fillId="215" borderId="10" xfId="0" applyFont="1" applyFill="1" applyBorder="1" applyAlignment="1">
      <alignment horizontal="center" vertical="center"/>
    </xf>
    <xf numFmtId="0" fontId="7" fillId="216" borderId="10" xfId="0" applyFont="1" applyFill="1" applyBorder="1" applyAlignment="1">
      <alignment horizontal="center" vertical="center"/>
    </xf>
    <xf numFmtId="0" fontId="7" fillId="217" borderId="10" xfId="0" applyFont="1" applyFill="1" applyBorder="1" applyAlignment="1">
      <alignment horizontal="center" vertical="center"/>
    </xf>
    <xf numFmtId="0" fontId="7" fillId="218" borderId="10" xfId="0" applyFont="1" applyFill="1" applyBorder="1" applyAlignment="1">
      <alignment horizontal="center" vertical="center"/>
    </xf>
    <xf numFmtId="0" fontId="7" fillId="219" borderId="10" xfId="0" applyFont="1" applyFill="1" applyBorder="1" applyAlignment="1">
      <alignment horizontal="center" vertical="center"/>
    </xf>
    <xf numFmtId="0" fontId="7" fillId="220" borderId="10" xfId="0" applyFont="1" applyFill="1" applyBorder="1" applyAlignment="1">
      <alignment horizontal="center" vertical="center"/>
    </xf>
    <xf numFmtId="0" fontId="7" fillId="221" borderId="10" xfId="0" applyFont="1" applyFill="1" applyBorder="1" applyAlignment="1">
      <alignment horizontal="center" vertical="center"/>
    </xf>
    <xf numFmtId="0" fontId="7" fillId="222" borderId="10" xfId="0" applyFont="1" applyFill="1" applyBorder="1" applyAlignment="1">
      <alignment horizontal="center" vertical="center"/>
    </xf>
    <xf numFmtId="0" fontId="7" fillId="223" borderId="10" xfId="0" applyFont="1" applyFill="1" applyBorder="1" applyAlignment="1">
      <alignment horizontal="center" vertical="center"/>
    </xf>
    <xf numFmtId="0" fontId="7" fillId="224" borderId="10" xfId="0" applyFont="1" applyFill="1" applyBorder="1" applyAlignment="1">
      <alignment horizontal="center" vertical="center"/>
    </xf>
    <xf numFmtId="0" fontId="7" fillId="225" borderId="10" xfId="0" applyFont="1" applyFill="1" applyBorder="1" applyAlignment="1">
      <alignment horizontal="center" vertical="center"/>
    </xf>
    <xf numFmtId="0" fontId="7" fillId="226" borderId="10" xfId="0" applyFont="1" applyFill="1" applyBorder="1" applyAlignment="1">
      <alignment horizontal="center" vertical="center"/>
    </xf>
    <xf numFmtId="0" fontId="7" fillId="227" borderId="10" xfId="0" applyFont="1" applyFill="1" applyBorder="1" applyAlignment="1">
      <alignment horizontal="center" vertical="center"/>
    </xf>
    <xf numFmtId="0" fontId="7" fillId="228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29" borderId="10" xfId="0" applyFont="1" applyFill="1" applyBorder="1" applyAlignment="1">
      <alignment horizontal="center" vertical="center"/>
    </xf>
    <xf numFmtId="0" fontId="7" fillId="230" borderId="10" xfId="0" applyFont="1" applyFill="1" applyBorder="1" applyAlignment="1">
      <alignment horizontal="center" vertical="center"/>
    </xf>
    <xf numFmtId="0" fontId="7" fillId="231" borderId="10" xfId="0" applyFont="1" applyFill="1" applyBorder="1" applyAlignment="1">
      <alignment horizontal="center" vertical="center"/>
    </xf>
    <xf numFmtId="0" fontId="7" fillId="232" borderId="10" xfId="0" applyFont="1" applyFill="1" applyBorder="1" applyAlignment="1">
      <alignment horizontal="center" vertical="center"/>
    </xf>
    <xf numFmtId="0" fontId="7" fillId="233" borderId="10" xfId="0" applyFont="1" applyFill="1" applyBorder="1" applyAlignment="1">
      <alignment horizontal="center" vertical="center"/>
    </xf>
    <xf numFmtId="0" fontId="7" fillId="234" borderId="10" xfId="0" applyFont="1" applyFill="1" applyBorder="1" applyAlignment="1">
      <alignment horizontal="center" vertical="center"/>
    </xf>
    <xf numFmtId="0" fontId="7" fillId="235" borderId="10" xfId="0" applyFont="1" applyFill="1" applyBorder="1" applyAlignment="1">
      <alignment horizontal="center" vertical="center"/>
    </xf>
    <xf numFmtId="0" fontId="7" fillId="236" borderId="10" xfId="0" applyFont="1" applyFill="1" applyBorder="1" applyAlignment="1">
      <alignment horizontal="center" vertical="center"/>
    </xf>
    <xf numFmtId="0" fontId="7" fillId="237" borderId="10" xfId="0" applyFont="1" applyFill="1" applyBorder="1" applyAlignment="1">
      <alignment horizontal="center" vertical="center"/>
    </xf>
    <xf numFmtId="0" fontId="7" fillId="238" borderId="10" xfId="0" applyFont="1" applyFill="1" applyBorder="1" applyAlignment="1">
      <alignment horizontal="center" vertical="center"/>
    </xf>
    <xf numFmtId="0" fontId="7" fillId="239" borderId="10" xfId="0" applyFont="1" applyFill="1" applyBorder="1" applyAlignment="1">
      <alignment horizontal="center" vertical="center"/>
    </xf>
    <xf numFmtId="0" fontId="7" fillId="240" borderId="10" xfId="0" applyFont="1" applyFill="1" applyBorder="1" applyAlignment="1">
      <alignment horizontal="center" vertical="center"/>
    </xf>
    <xf numFmtId="0" fontId="7" fillId="241" borderId="10" xfId="0" applyFont="1" applyFill="1" applyBorder="1" applyAlignment="1">
      <alignment horizontal="center" vertical="center"/>
    </xf>
    <xf numFmtId="0" fontId="7" fillId="242" borderId="10" xfId="0" applyFont="1" applyFill="1" applyBorder="1" applyAlignment="1">
      <alignment horizontal="center" vertical="center"/>
    </xf>
    <xf numFmtId="0" fontId="7" fillId="243" borderId="10" xfId="0" applyFont="1" applyFill="1" applyBorder="1" applyAlignment="1">
      <alignment horizontal="center" vertical="center"/>
    </xf>
    <xf numFmtId="0" fontId="7" fillId="244" borderId="10" xfId="0" applyFont="1" applyFill="1" applyBorder="1" applyAlignment="1">
      <alignment horizontal="center" vertical="center"/>
    </xf>
    <xf numFmtId="0" fontId="7" fillId="245" borderId="10" xfId="0" applyFont="1" applyFill="1" applyBorder="1" applyAlignment="1">
      <alignment horizontal="center" vertical="center"/>
    </xf>
    <xf numFmtId="0" fontId="7" fillId="246" borderId="10" xfId="0" applyFont="1" applyFill="1" applyBorder="1" applyAlignment="1">
      <alignment horizontal="center" vertical="center"/>
    </xf>
    <xf numFmtId="0" fontId="7" fillId="247" borderId="10" xfId="0" applyFont="1" applyFill="1" applyBorder="1" applyAlignment="1">
      <alignment horizontal="center" vertical="center"/>
    </xf>
    <xf numFmtId="0" fontId="7" fillId="248" borderId="10" xfId="0" applyFont="1" applyFill="1" applyBorder="1" applyAlignment="1">
      <alignment horizontal="center" vertical="center"/>
    </xf>
    <xf numFmtId="0" fontId="7" fillId="249" borderId="10" xfId="0" applyFont="1" applyFill="1" applyBorder="1" applyAlignment="1">
      <alignment horizontal="center" vertical="center"/>
    </xf>
    <xf numFmtId="0" fontId="7" fillId="250" borderId="10" xfId="0" applyFont="1" applyFill="1" applyBorder="1" applyAlignment="1">
      <alignment horizontal="center" vertical="center"/>
    </xf>
    <xf numFmtId="0" fontId="7" fillId="251" borderId="10" xfId="0" applyFont="1" applyFill="1" applyBorder="1" applyAlignment="1">
      <alignment horizontal="center" vertical="center"/>
    </xf>
    <xf numFmtId="0" fontId="7" fillId="252" borderId="10" xfId="0" applyFont="1" applyFill="1" applyBorder="1" applyAlignment="1">
      <alignment horizontal="center" vertical="center"/>
    </xf>
    <xf numFmtId="0" fontId="7" fillId="253" borderId="10" xfId="0" applyFont="1" applyFill="1" applyBorder="1" applyAlignment="1">
      <alignment horizontal="center" vertical="center"/>
    </xf>
    <xf numFmtId="0" fontId="7" fillId="254" borderId="10" xfId="0" applyFont="1" applyFill="1" applyBorder="1" applyAlignment="1">
      <alignment horizontal="center" vertical="center"/>
    </xf>
    <xf numFmtId="0" fontId="7" fillId="255" borderId="10" xfId="0" applyFont="1" applyFill="1" applyBorder="1" applyAlignment="1">
      <alignment horizontal="center" vertical="center"/>
    </xf>
    <xf numFmtId="0" fontId="6" fillId="0" borderId="10" xfId="0" applyFont="1" applyBorder="1"/>
    <xf numFmtId="0" fontId="7" fillId="256" borderId="10" xfId="0" applyFont="1" applyFill="1" applyBorder="1" applyAlignment="1">
      <alignment horizontal="center" vertical="center"/>
    </xf>
    <xf numFmtId="0" fontId="7" fillId="257" borderId="10" xfId="0" applyFont="1" applyFill="1" applyBorder="1" applyAlignment="1">
      <alignment horizontal="center" vertical="center"/>
    </xf>
    <xf numFmtId="0" fontId="7" fillId="258" borderId="10" xfId="0" applyFont="1" applyFill="1" applyBorder="1" applyAlignment="1">
      <alignment horizontal="center" vertical="center"/>
    </xf>
    <xf numFmtId="0" fontId="7" fillId="25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0534-7C95-48E2-9B45-3A18193D99F1}">
  <sheetPr>
    <pageSetUpPr fitToPage="1"/>
  </sheetPr>
  <dimension ref="A1:V1002"/>
  <sheetViews>
    <sheetView tabSelected="1" workbookViewId="0"/>
  </sheetViews>
  <sheetFormatPr defaultColWidth="12.59765625" defaultRowHeight="15" customHeight="1" x14ac:dyDescent="0.25"/>
  <cols>
    <col min="1" max="1" width="35.09765625" customWidth="1"/>
    <col min="2" max="2" width="14.09765625" customWidth="1"/>
    <col min="3" max="22" width="7.19921875" customWidth="1"/>
    <col min="23" max="26" width="6.69921875" customWidth="1"/>
  </cols>
  <sheetData>
    <row r="1" spans="1:22" ht="15" customHeight="1" x14ac:dyDescent="0.3">
      <c r="A1" s="1" t="s">
        <v>0</v>
      </c>
    </row>
    <row r="3" spans="1:22" ht="15.6" x14ac:dyDescent="0.3">
      <c r="A3" s="2" t="s">
        <v>1</v>
      </c>
      <c r="B3" s="3"/>
      <c r="C3" s="4" t="s">
        <v>2</v>
      </c>
      <c r="D3" s="5"/>
      <c r="E3" s="5"/>
      <c r="F3" s="5"/>
      <c r="G3" s="5"/>
      <c r="H3" s="5"/>
      <c r="I3" s="3"/>
      <c r="J3" s="4" t="s">
        <v>3</v>
      </c>
      <c r="K3" s="5"/>
      <c r="L3" s="5"/>
      <c r="M3" s="5"/>
      <c r="N3" s="5"/>
      <c r="O3" s="5"/>
      <c r="P3" s="3"/>
    </row>
    <row r="4" spans="1:22" ht="14.4" thickBot="1" x14ac:dyDescent="0.3">
      <c r="A4" s="6" t="s">
        <v>4</v>
      </c>
      <c r="B4" s="6" t="s">
        <v>5</v>
      </c>
      <c r="C4" s="6" t="s">
        <v>6</v>
      </c>
      <c r="D4" s="6" t="s">
        <v>7</v>
      </c>
      <c r="E4" s="7" t="s">
        <v>8</v>
      </c>
      <c r="F4" s="8" t="s">
        <v>9</v>
      </c>
      <c r="G4" s="7" t="s">
        <v>10</v>
      </c>
      <c r="H4" s="8" t="s">
        <v>11</v>
      </c>
      <c r="I4" s="9" t="s">
        <v>12</v>
      </c>
      <c r="J4" s="6" t="s">
        <v>13</v>
      </c>
      <c r="K4" s="6" t="s">
        <v>14</v>
      </c>
      <c r="L4" s="7" t="s">
        <v>15</v>
      </c>
      <c r="M4" s="8" t="s">
        <v>16</v>
      </c>
      <c r="N4" s="7" t="s">
        <v>17</v>
      </c>
      <c r="O4" s="8" t="s">
        <v>18</v>
      </c>
      <c r="P4" s="9" t="s">
        <v>12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</row>
    <row r="5" spans="1:22" ht="14.4" x14ac:dyDescent="0.3">
      <c r="A5" s="10" t="s">
        <v>25</v>
      </c>
      <c r="B5" s="10" t="s">
        <v>26</v>
      </c>
      <c r="C5" s="11">
        <v>9.0993723903582801E-4</v>
      </c>
      <c r="D5" s="11">
        <v>-6.0666198344333198E-2</v>
      </c>
      <c r="E5" s="11">
        <v>-1.4589310737429599E-2</v>
      </c>
      <c r="F5" s="11">
        <v>-6.5403137528347505E-2</v>
      </c>
      <c r="G5" s="11">
        <v>-6.9351582270324397E-2</v>
      </c>
      <c r="H5" s="11">
        <v>-7.7946832318506395E-2</v>
      </c>
      <c r="I5" s="12">
        <f t="shared" ref="I5:I149" si="0">AVERAGE(C5:H5)</f>
        <v>-4.784118732665088E-2</v>
      </c>
      <c r="J5" s="13">
        <f t="shared" ref="J5:J149" si="1">(C5-AVERAGE($C$5:$C$158))/STDEV($C$5:$C$158)</f>
        <v>0.9201995703535456</v>
      </c>
      <c r="K5" s="14">
        <f t="shared" ref="K5:K149" si="2">(D5-AVERAGE($D$5:$D$158))/STDEV($D$5:$D$158)</f>
        <v>0.28967998479319718</v>
      </c>
      <c r="L5" s="15">
        <f t="shared" ref="L5:L149" si="3">(E5-AVERAGE($E$5:$E$158))/STDEV($E$5:$E$158)</f>
        <v>0.88679471886236994</v>
      </c>
      <c r="M5" s="16">
        <f t="shared" ref="M5:M149" si="4">(F5-AVERAGE($F$5:$F$158))/STDEV($F$5:$F$158)</f>
        <v>0.28144030460310659</v>
      </c>
      <c r="N5" s="17">
        <f t="shared" ref="N5:N149" si="5">(G5-AVERAGE($G$5:$G$158))/STDEV($G$5:$G$158)</f>
        <v>0.13366262430487605</v>
      </c>
      <c r="O5" s="18">
        <f t="shared" ref="O5:O149" si="6">(H5-AVERAGE($H$5:$H$158))/STDEV($H$5:$H$158)</f>
        <v>-7.7252616874833008E-2</v>
      </c>
      <c r="P5" s="19">
        <f t="shared" ref="P5:P149" si="7">AVERAGE(J5:O5)</f>
        <v>0.40575409767371035</v>
      </c>
      <c r="Q5" s="20">
        <v>0.17790221420060801</v>
      </c>
      <c r="R5" s="20">
        <v>0.38564647502145899</v>
      </c>
      <c r="S5" s="20">
        <v>0.18676823915999499</v>
      </c>
      <c r="T5" s="20">
        <v>0.38881233636752599</v>
      </c>
      <c r="U5" s="20">
        <v>0.44665149877705301</v>
      </c>
      <c r="V5" s="20">
        <v>0.46910478518676102</v>
      </c>
    </row>
    <row r="6" spans="1:22" ht="14.4" x14ac:dyDescent="0.3">
      <c r="A6" s="21" t="s">
        <v>27</v>
      </c>
      <c r="B6" s="21" t="s">
        <v>28</v>
      </c>
      <c r="C6" s="22">
        <v>-1.88645525165992E-4</v>
      </c>
      <c r="D6" s="23">
        <v>-4.91675785725025E-2</v>
      </c>
      <c r="E6" s="23">
        <v>2.5418751302196899E-2</v>
      </c>
      <c r="F6" s="23">
        <v>-4.86173019483871E-2</v>
      </c>
      <c r="G6" s="24">
        <v>-8.4055044272771801E-2</v>
      </c>
      <c r="H6" s="23">
        <v>-5.1728412546036703E-2</v>
      </c>
      <c r="I6" s="12">
        <f t="shared" si="0"/>
        <v>-3.4723038593777872E-2</v>
      </c>
      <c r="J6" s="25">
        <f t="shared" si="1"/>
        <v>0.90238775911278313</v>
      </c>
      <c r="K6" s="26">
        <f t="shared" si="2"/>
        <v>0.57211160214495616</v>
      </c>
      <c r="L6" s="27">
        <f t="shared" si="3"/>
        <v>1.6216295955765374</v>
      </c>
      <c r="M6" s="28">
        <f t="shared" si="4"/>
        <v>0.75897710850409594</v>
      </c>
      <c r="N6" s="29">
        <f t="shared" si="5"/>
        <v>-0.26179320584472732</v>
      </c>
      <c r="O6" s="30">
        <f t="shared" si="6"/>
        <v>0.66510684886532478</v>
      </c>
      <c r="P6" s="31">
        <f t="shared" si="7"/>
        <v>0.70973661805982846</v>
      </c>
      <c r="Q6" s="20">
        <v>0.18259614191738299</v>
      </c>
      <c r="R6" s="20">
        <v>0.28295187204288502</v>
      </c>
      <c r="S6" s="20">
        <v>5.1841951827851701E-2</v>
      </c>
      <c r="T6" s="20">
        <v>0.22314703330464999</v>
      </c>
      <c r="U6" s="20">
        <v>0.39639066274865298</v>
      </c>
      <c r="V6" s="20">
        <v>0.25225442096198902</v>
      </c>
    </row>
    <row r="7" spans="1:22" ht="14.4" x14ac:dyDescent="0.3">
      <c r="A7" s="21" t="s">
        <v>29</v>
      </c>
      <c r="B7" s="21" t="s">
        <v>30</v>
      </c>
      <c r="C7" s="32">
        <v>-5.30426829584313E-2</v>
      </c>
      <c r="D7" s="33">
        <v>-6.8796879188911697E-2</v>
      </c>
      <c r="E7" s="34">
        <v>-6.4171409810310595E-2</v>
      </c>
      <c r="F7" s="35">
        <v>-7.5206996437267207E-2</v>
      </c>
      <c r="G7" s="36">
        <v>-4.0947167038323802E-2</v>
      </c>
      <c r="H7" s="37">
        <v>-7.5629547742656802E-2</v>
      </c>
      <c r="I7" s="12">
        <f t="shared" si="0"/>
        <v>-6.2965780529316895E-2</v>
      </c>
      <c r="J7" s="25">
        <f t="shared" si="1"/>
        <v>4.5441729418321745E-2</v>
      </c>
      <c r="K7" s="26">
        <f t="shared" si="2"/>
        <v>8.9972421044468467E-2</v>
      </c>
      <c r="L7" s="27">
        <f t="shared" si="3"/>
        <v>-2.3888123594807048E-2</v>
      </c>
      <c r="M7" s="28">
        <f t="shared" si="4"/>
        <v>2.5323272813843538E-3</v>
      </c>
      <c r="N7" s="29">
        <f t="shared" si="5"/>
        <v>0.89761138709388066</v>
      </c>
      <c r="O7" s="30">
        <f t="shared" si="6"/>
        <v>-1.1640037832142324E-2</v>
      </c>
      <c r="P7" s="31">
        <f t="shared" si="7"/>
        <v>0.16667161723518431</v>
      </c>
      <c r="Q7" s="20">
        <v>0.48181483738112502</v>
      </c>
      <c r="R7" s="20">
        <v>0.46403065403328703</v>
      </c>
      <c r="S7" s="20">
        <v>0.49043790027878098</v>
      </c>
      <c r="T7" s="20">
        <v>0.49898624691865101</v>
      </c>
      <c r="U7" s="20">
        <v>0.18386788779737201</v>
      </c>
      <c r="V7" s="20">
        <v>0.49534030664491902</v>
      </c>
    </row>
    <row r="8" spans="1:22" ht="14.4" x14ac:dyDescent="0.3">
      <c r="A8" s="21" t="s">
        <v>31</v>
      </c>
      <c r="B8" s="21" t="s">
        <v>30</v>
      </c>
      <c r="C8" s="38">
        <v>-3.2402643146155E-3</v>
      </c>
      <c r="D8" s="39">
        <v>-3.4028863192429502E-2</v>
      </c>
      <c r="E8" s="40">
        <v>-4.15995079305847E-2</v>
      </c>
      <c r="F8" s="41">
        <v>-3.7853421247199301E-2</v>
      </c>
      <c r="G8" s="42">
        <v>-2.9293002553429402E-2</v>
      </c>
      <c r="H8" s="43">
        <v>-2.5443784642828399E-2</v>
      </c>
      <c r="I8" s="12">
        <f t="shared" si="0"/>
        <v>-2.8576473980181136E-2</v>
      </c>
      <c r="J8" s="25">
        <f t="shared" si="1"/>
        <v>0.85291050566622051</v>
      </c>
      <c r="K8" s="26">
        <f t="shared" si="2"/>
        <v>0.94395204510807174</v>
      </c>
      <c r="L8" s="27">
        <f t="shared" si="3"/>
        <v>0.39069383537546826</v>
      </c>
      <c r="M8" s="28">
        <f t="shared" si="4"/>
        <v>1.0651965494804674</v>
      </c>
      <c r="N8" s="29">
        <f t="shared" si="5"/>
        <v>1.2110550706499585</v>
      </c>
      <c r="O8" s="30">
        <f t="shared" si="6"/>
        <v>1.4093409597209894</v>
      </c>
      <c r="P8" s="31">
        <f t="shared" si="7"/>
        <v>0.97885816100019596</v>
      </c>
      <c r="Q8" s="20">
        <v>0.19603570915253801</v>
      </c>
      <c r="R8" s="20">
        <v>0.17176232775558201</v>
      </c>
      <c r="S8" s="20">
        <v>0.34751135030581298</v>
      </c>
      <c r="T8" s="20">
        <v>0.14255990098745699</v>
      </c>
      <c r="U8" s="20">
        <v>0.11213483489385501</v>
      </c>
      <c r="V8" s="20">
        <v>7.8647772533134097E-2</v>
      </c>
    </row>
    <row r="9" spans="1:22" ht="14.4" x14ac:dyDescent="0.3">
      <c r="A9" s="21" t="s">
        <v>32</v>
      </c>
      <c r="B9" s="21" t="s">
        <v>30</v>
      </c>
      <c r="C9" s="39">
        <v>-1.5313577925237399E-3</v>
      </c>
      <c r="D9" s="44">
        <v>-0.118567532224971</v>
      </c>
      <c r="E9" s="45">
        <v>-8.2305016376607296E-2</v>
      </c>
      <c r="F9" s="46">
        <v>-0.10633497576232299</v>
      </c>
      <c r="G9" s="47">
        <v>-7.5366634907689301E-2</v>
      </c>
      <c r="H9" s="48">
        <v>-9.0989834074002698E-2</v>
      </c>
      <c r="I9" s="12">
        <f t="shared" si="0"/>
        <v>-7.9182558523019503E-2</v>
      </c>
      <c r="J9" s="25">
        <f t="shared" si="1"/>
        <v>0.88061776759629617</v>
      </c>
      <c r="K9" s="26">
        <f t="shared" si="2"/>
        <v>-1.1325052599780667</v>
      </c>
      <c r="L9" s="27">
        <f t="shared" si="3"/>
        <v>-0.35695115804845617</v>
      </c>
      <c r="M9" s="28">
        <f t="shared" si="4"/>
        <v>-0.88302119121782874</v>
      </c>
      <c r="N9" s="29">
        <f t="shared" si="5"/>
        <v>-2.8114760756326868E-2</v>
      </c>
      <c r="O9" s="30">
        <f t="shared" si="6"/>
        <v>-0.44655770462940692</v>
      </c>
      <c r="P9" s="31">
        <f t="shared" si="7"/>
        <v>-0.32775538450563152</v>
      </c>
      <c r="Q9" s="20">
        <v>0.18843714166091799</v>
      </c>
      <c r="R9" s="20">
        <v>0.12788816277960299</v>
      </c>
      <c r="S9" s="20">
        <v>0.36010115351805</v>
      </c>
      <c r="T9" s="20">
        <v>0.18778668912621099</v>
      </c>
      <c r="U9" s="20">
        <v>0.48874644844424903</v>
      </c>
      <c r="V9" s="20">
        <v>0.327038504323792</v>
      </c>
    </row>
    <row r="10" spans="1:22" ht="14.4" x14ac:dyDescent="0.3">
      <c r="A10" s="21" t="s">
        <v>33</v>
      </c>
      <c r="B10" s="21" t="s">
        <v>30</v>
      </c>
      <c r="C10" s="41">
        <v>-0.13262890098727401</v>
      </c>
      <c r="D10" s="49">
        <v>-0.10465352190935399</v>
      </c>
      <c r="E10" s="50">
        <v>-0.112506559247513</v>
      </c>
      <c r="F10" s="51">
        <v>-0.11724431431082501</v>
      </c>
      <c r="G10" s="52">
        <v>-0.10420268586135201</v>
      </c>
      <c r="H10" s="28">
        <v>-0.110168122611272</v>
      </c>
      <c r="I10" s="12">
        <f t="shared" si="0"/>
        <v>-0.113567350821265</v>
      </c>
      <c r="J10" s="25">
        <f t="shared" si="1"/>
        <v>-1.2449250404680232</v>
      </c>
      <c r="K10" s="26">
        <f t="shared" si="2"/>
        <v>-0.79074629105243255</v>
      </c>
      <c r="L10" s="27">
        <f t="shared" si="3"/>
        <v>-0.91166803011634467</v>
      </c>
      <c r="M10" s="28">
        <f t="shared" si="4"/>
        <v>-1.1933787327479597</v>
      </c>
      <c r="N10" s="29">
        <f t="shared" si="5"/>
        <v>-0.80367254886220596</v>
      </c>
      <c r="O10" s="30">
        <f t="shared" si="6"/>
        <v>-0.98957990642081306</v>
      </c>
      <c r="P10" s="31">
        <f t="shared" si="7"/>
        <v>-0.98899509161129651</v>
      </c>
      <c r="Q10" s="20">
        <v>0.105788613025175</v>
      </c>
      <c r="R10" s="20">
        <v>0.21374701557634099</v>
      </c>
      <c r="S10" s="20">
        <v>0.18014094880034001</v>
      </c>
      <c r="T10" s="20">
        <v>0.115552895549189</v>
      </c>
      <c r="U10" s="20">
        <v>0.20998933567212599</v>
      </c>
      <c r="V10" s="20">
        <v>0.16035253986464601</v>
      </c>
    </row>
    <row r="11" spans="1:22" ht="14.4" x14ac:dyDescent="0.3">
      <c r="A11" s="21" t="s">
        <v>34</v>
      </c>
      <c r="B11" s="21" t="s">
        <v>30</v>
      </c>
      <c r="C11" s="39">
        <v>-0.13205926547991001</v>
      </c>
      <c r="D11" s="53">
        <v>-0.10374633297272</v>
      </c>
      <c r="E11" s="54">
        <v>-0.117705705186102</v>
      </c>
      <c r="F11" s="55">
        <v>-0.123528093314761</v>
      </c>
      <c r="G11" s="56">
        <v>-0.102072354718952</v>
      </c>
      <c r="H11" s="57">
        <v>-0.11745101699251299</v>
      </c>
      <c r="I11" s="12">
        <f t="shared" si="0"/>
        <v>-0.116093794777493</v>
      </c>
      <c r="J11" s="25">
        <f t="shared" si="1"/>
        <v>-1.23568928649133</v>
      </c>
      <c r="K11" s="26">
        <f t="shared" si="2"/>
        <v>-0.76846371769133692</v>
      </c>
      <c r="L11" s="27">
        <f t="shared" si="3"/>
        <v>-1.007161627407259</v>
      </c>
      <c r="M11" s="28">
        <f t="shared" si="4"/>
        <v>-1.3721446766692817</v>
      </c>
      <c r="N11" s="29">
        <f t="shared" si="5"/>
        <v>-0.7463763916530316</v>
      </c>
      <c r="O11" s="30">
        <f t="shared" si="6"/>
        <v>-1.1957908691263959</v>
      </c>
      <c r="P11" s="31">
        <f t="shared" si="7"/>
        <v>-1.0542710948397724</v>
      </c>
      <c r="Q11" s="20">
        <v>0.107492791978946</v>
      </c>
      <c r="R11" s="20">
        <v>0.22031571707831701</v>
      </c>
      <c r="S11" s="20">
        <v>0.15609134968455701</v>
      </c>
      <c r="T11" s="20">
        <v>8.4271456060219699E-2</v>
      </c>
      <c r="U11" s="20">
        <v>0.226939604844862</v>
      </c>
      <c r="V11" s="20">
        <v>0.115082149632096</v>
      </c>
    </row>
    <row r="12" spans="1:22" ht="14.4" x14ac:dyDescent="0.3">
      <c r="A12" s="21" t="s">
        <v>35</v>
      </c>
      <c r="B12" s="21" t="s">
        <v>30</v>
      </c>
      <c r="C12" s="31">
        <v>-0.12172444984630799</v>
      </c>
      <c r="D12" s="58">
        <v>-9.9573263864206105E-2</v>
      </c>
      <c r="E12" s="59">
        <v>-0.103925854974884</v>
      </c>
      <c r="F12" s="59">
        <v>-0.123906283717776</v>
      </c>
      <c r="G12" s="42">
        <v>-0.10495456744102299</v>
      </c>
      <c r="H12" s="60">
        <v>-0.113346112886723</v>
      </c>
      <c r="I12" s="12">
        <f t="shared" si="0"/>
        <v>-0.11123842212182002</v>
      </c>
      <c r="J12" s="25">
        <f t="shared" si="1"/>
        <v>-1.0681263214856433</v>
      </c>
      <c r="K12" s="26">
        <f t="shared" si="2"/>
        <v>-0.66596388023035824</v>
      </c>
      <c r="L12" s="27">
        <f t="shared" si="3"/>
        <v>-0.75406477605088174</v>
      </c>
      <c r="M12" s="28">
        <f t="shared" si="4"/>
        <v>-1.3829037381090004</v>
      </c>
      <c r="N12" s="29">
        <f t="shared" si="5"/>
        <v>-0.82389472199486635</v>
      </c>
      <c r="O12" s="30">
        <f t="shared" si="6"/>
        <v>-1.0795628719650783</v>
      </c>
      <c r="P12" s="31">
        <f t="shared" si="7"/>
        <v>-0.96241938497263801</v>
      </c>
      <c r="Q12" s="20">
        <v>0.14189849507605601</v>
      </c>
      <c r="R12" s="20">
        <v>0.251979910451399</v>
      </c>
      <c r="S12" s="20">
        <v>0.22462124134780301</v>
      </c>
      <c r="T12" s="20">
        <v>8.2614637605747193E-2</v>
      </c>
      <c r="U12" s="20">
        <v>0.204189240688019</v>
      </c>
      <c r="V12" s="20">
        <v>0.139336562448029</v>
      </c>
    </row>
    <row r="13" spans="1:22" ht="14.4" x14ac:dyDescent="0.3">
      <c r="A13" s="21" t="s">
        <v>36</v>
      </c>
      <c r="B13" s="21" t="s">
        <v>30</v>
      </c>
      <c r="C13" s="61">
        <v>-0.117574248292656</v>
      </c>
      <c r="D13" s="62">
        <v>-7.45870125769756E-2</v>
      </c>
      <c r="E13" s="46">
        <v>-7.0363888509523798E-2</v>
      </c>
      <c r="F13" s="63">
        <v>-0.109855055667306</v>
      </c>
      <c r="G13" s="64">
        <v>-8.8705571080364101E-2</v>
      </c>
      <c r="H13" s="65">
        <v>-9.9927931723708202E-2</v>
      </c>
      <c r="I13" s="12">
        <f t="shared" si="0"/>
        <v>-9.3502284641755626E-2</v>
      </c>
      <c r="J13" s="25">
        <f t="shared" si="1"/>
        <v>-1.0008372567983075</v>
      </c>
      <c r="K13" s="26">
        <f t="shared" si="2"/>
        <v>-5.2246103432660937E-2</v>
      </c>
      <c r="L13" s="27">
        <f t="shared" si="3"/>
        <v>-0.13762643256324422</v>
      </c>
      <c r="M13" s="28">
        <f t="shared" si="4"/>
        <v>-0.98316322461820871</v>
      </c>
      <c r="N13" s="29">
        <f t="shared" si="5"/>
        <v>-0.38687109151704602</v>
      </c>
      <c r="O13" s="30">
        <f t="shared" si="6"/>
        <v>-0.69963479522264049</v>
      </c>
      <c r="P13" s="31">
        <f t="shared" si="7"/>
        <v>-0.54339648402535135</v>
      </c>
      <c r="Q13" s="20">
        <v>0.15761548118980101</v>
      </c>
      <c r="R13" s="20">
        <v>0.47909415086179402</v>
      </c>
      <c r="S13" s="20">
        <v>0.44507931958118102</v>
      </c>
      <c r="T13" s="20">
        <v>0.161926476868406</v>
      </c>
      <c r="U13" s="20">
        <v>0.34892955090749</v>
      </c>
      <c r="V13" s="20">
        <v>0.241320910617109</v>
      </c>
    </row>
    <row r="14" spans="1:22" ht="14.4" x14ac:dyDescent="0.3">
      <c r="A14" s="21" t="s">
        <v>37</v>
      </c>
      <c r="B14" s="21" t="s">
        <v>30</v>
      </c>
      <c r="C14" s="60">
        <v>5.1444744392319497E-2</v>
      </c>
      <c r="D14" s="34">
        <v>-2.76486446369467E-3</v>
      </c>
      <c r="E14" s="66">
        <v>3.36612997414227E-2</v>
      </c>
      <c r="F14" s="67">
        <v>-5.0450070824535301E-2</v>
      </c>
      <c r="G14" s="68">
        <v>-6.0913800098465497E-2</v>
      </c>
      <c r="H14" s="69">
        <v>-3.4712922946226799E-2</v>
      </c>
      <c r="I14" s="12">
        <f t="shared" si="0"/>
        <v>-1.062260236653001E-2</v>
      </c>
      <c r="J14" s="25">
        <f t="shared" si="1"/>
        <v>1.7395428874286192</v>
      </c>
      <c r="K14" s="26">
        <f t="shared" si="2"/>
        <v>1.7118652295644787</v>
      </c>
      <c r="L14" s="27">
        <f t="shared" si="3"/>
        <v>1.7730218839645604</v>
      </c>
      <c r="M14" s="28">
        <f t="shared" si="4"/>
        <v>0.70683704152703786</v>
      </c>
      <c r="N14" s="29">
        <f t="shared" si="5"/>
        <v>0.36060034501572469</v>
      </c>
      <c r="O14" s="30">
        <f t="shared" si="6"/>
        <v>1.146890643550226</v>
      </c>
      <c r="P14" s="31">
        <f t="shared" si="7"/>
        <v>1.2397930051751078</v>
      </c>
      <c r="Q14" s="70">
        <v>4.0442630661515502E-2</v>
      </c>
      <c r="R14" s="70">
        <v>4.2916649086453602E-2</v>
      </c>
      <c r="S14" s="70">
        <v>3.7606147640579603E-2</v>
      </c>
      <c r="T14" s="20">
        <v>0.23907316891132599</v>
      </c>
      <c r="U14" s="20">
        <v>0.358731964466386</v>
      </c>
      <c r="V14" s="20">
        <v>0.12489368095424901</v>
      </c>
    </row>
    <row r="15" spans="1:22" ht="14.4" x14ac:dyDescent="0.3">
      <c r="A15" s="21" t="s">
        <v>38</v>
      </c>
      <c r="B15" s="21" t="s">
        <v>30</v>
      </c>
      <c r="C15" s="71">
        <v>-0.10992485719377</v>
      </c>
      <c r="D15" s="72">
        <v>-8.3788176366781694E-2</v>
      </c>
      <c r="E15" s="73">
        <v>-8.1734378407737895E-2</v>
      </c>
      <c r="F15" s="74">
        <v>-0.11468425619811</v>
      </c>
      <c r="G15" s="75">
        <v>-8.5990443153775797E-2</v>
      </c>
      <c r="H15" s="76">
        <v>-0.102046591907342</v>
      </c>
      <c r="I15" s="12">
        <f t="shared" si="0"/>
        <v>-9.6361450537919557E-2</v>
      </c>
      <c r="J15" s="25">
        <f t="shared" si="1"/>
        <v>-0.87681427482560292</v>
      </c>
      <c r="K15" s="26">
        <f t="shared" si="2"/>
        <v>-0.27824710374746964</v>
      </c>
      <c r="L15" s="27">
        <f t="shared" si="3"/>
        <v>-0.34647015346774834</v>
      </c>
      <c r="M15" s="28">
        <f t="shared" si="4"/>
        <v>-1.120548163002226</v>
      </c>
      <c r="N15" s="29">
        <f t="shared" si="5"/>
        <v>-0.31384657742692024</v>
      </c>
      <c r="O15" s="30">
        <f t="shared" si="6"/>
        <v>-0.75962343891881146</v>
      </c>
      <c r="P15" s="31">
        <f t="shared" si="7"/>
        <v>-0.61592495189812979</v>
      </c>
      <c r="Q15" s="20">
        <v>0.189469338492226</v>
      </c>
      <c r="R15" s="20">
        <v>0.39004123327414802</v>
      </c>
      <c r="S15" s="20">
        <v>0.36404360398813301</v>
      </c>
      <c r="T15" s="20">
        <v>0.13041485408822601</v>
      </c>
      <c r="U15" s="20">
        <v>0.37640571700759201</v>
      </c>
      <c r="V15" s="20">
        <v>0.22295347820692901</v>
      </c>
    </row>
    <row r="16" spans="1:22" ht="14.4" x14ac:dyDescent="0.3">
      <c r="A16" s="21" t="s">
        <v>39</v>
      </c>
      <c r="B16" s="21" t="s">
        <v>30</v>
      </c>
      <c r="C16" s="41">
        <v>-8.6162918886589807E-2</v>
      </c>
      <c r="D16" s="77">
        <v>-8.6033468984949804E-2</v>
      </c>
      <c r="E16" s="78">
        <v>-8.0804449865876399E-2</v>
      </c>
      <c r="F16" s="79">
        <v>-0.11360786812799099</v>
      </c>
      <c r="G16" s="80">
        <v>-8.31917728294463E-2</v>
      </c>
      <c r="H16" s="81">
        <v>-0.105401137198095</v>
      </c>
      <c r="I16" s="12">
        <f t="shared" si="0"/>
        <v>-9.2533602648824709E-2</v>
      </c>
      <c r="J16" s="25">
        <f t="shared" si="1"/>
        <v>-0.49155139465503511</v>
      </c>
      <c r="K16" s="26">
        <f t="shared" si="2"/>
        <v>-0.33339647281615598</v>
      </c>
      <c r="L16" s="27">
        <f t="shared" si="3"/>
        <v>-0.32938999785473838</v>
      </c>
      <c r="M16" s="28">
        <f t="shared" si="4"/>
        <v>-1.0899262189045824</v>
      </c>
      <c r="N16" s="29">
        <f t="shared" si="5"/>
        <v>-0.23857515521094408</v>
      </c>
      <c r="O16" s="30">
        <f t="shared" si="6"/>
        <v>-0.85460545810440125</v>
      </c>
      <c r="P16" s="31">
        <f t="shared" si="7"/>
        <v>-0.55624078292430956</v>
      </c>
      <c r="Q16" s="20">
        <v>0.310916133310084</v>
      </c>
      <c r="R16" s="20">
        <v>0.36898149287987803</v>
      </c>
      <c r="S16" s="20">
        <v>0.37049910908721101</v>
      </c>
      <c r="T16" s="20">
        <v>0.137042379553799</v>
      </c>
      <c r="U16" s="20">
        <v>0.40539689780221499</v>
      </c>
      <c r="V16" s="20">
        <v>0.19556560730995701</v>
      </c>
    </row>
    <row r="17" spans="1:22" ht="14.4" x14ac:dyDescent="0.3">
      <c r="A17" s="21" t="s">
        <v>40</v>
      </c>
      <c r="B17" s="21" t="s">
        <v>30</v>
      </c>
      <c r="C17" s="82">
        <v>-0.129373840945194</v>
      </c>
      <c r="D17" s="68">
        <v>-0.103564895185393</v>
      </c>
      <c r="E17" s="65">
        <v>-9.3654371535233497E-2</v>
      </c>
      <c r="F17" s="48">
        <v>-0.120618936368494</v>
      </c>
      <c r="G17" s="83">
        <v>-0.104829253844411</v>
      </c>
      <c r="H17" s="84">
        <v>-0.105930802244004</v>
      </c>
      <c r="I17" s="12">
        <f t="shared" si="0"/>
        <v>-0.10966201668712157</v>
      </c>
      <c r="J17" s="25">
        <f t="shared" si="1"/>
        <v>-1.1921493034583479</v>
      </c>
      <c r="K17" s="26">
        <f t="shared" si="2"/>
        <v>-0.76400720301911285</v>
      </c>
      <c r="L17" s="27">
        <f t="shared" si="3"/>
        <v>-0.56540669359811668</v>
      </c>
      <c r="M17" s="28">
        <f t="shared" si="4"/>
        <v>-1.2893826655945859</v>
      </c>
      <c r="N17" s="29">
        <f t="shared" si="5"/>
        <v>-0.82052435980608518</v>
      </c>
      <c r="O17" s="30">
        <f t="shared" si="6"/>
        <v>-0.86960261902845959</v>
      </c>
      <c r="P17" s="31">
        <f t="shared" si="7"/>
        <v>-0.91684547408411809</v>
      </c>
      <c r="Q17" s="20">
        <v>0.11579335324684301</v>
      </c>
      <c r="R17" s="20">
        <v>0.22164320895411399</v>
      </c>
      <c r="S17" s="20">
        <v>0.285232597535233</v>
      </c>
      <c r="T17" s="20">
        <v>9.7858283390584194E-2</v>
      </c>
      <c r="U17" s="20">
        <v>0.205149242759433</v>
      </c>
      <c r="V17" s="20">
        <v>0.19143597694935599</v>
      </c>
    </row>
    <row r="18" spans="1:22" ht="14.4" x14ac:dyDescent="0.3">
      <c r="A18" s="21" t="s">
        <v>41</v>
      </c>
      <c r="B18" s="21" t="s">
        <v>30</v>
      </c>
      <c r="C18" s="85">
        <v>-5.6826690257348697E-2</v>
      </c>
      <c r="D18" s="86">
        <v>-0.12782085937863399</v>
      </c>
      <c r="E18" s="87">
        <v>-8.5031397783428095E-2</v>
      </c>
      <c r="F18" s="88">
        <v>-0.109069583291814</v>
      </c>
      <c r="G18" s="89">
        <v>-8.2968993102136498E-2</v>
      </c>
      <c r="H18" s="90">
        <v>-9.5293362572009002E-2</v>
      </c>
      <c r="I18" s="12">
        <f t="shared" si="0"/>
        <v>-9.283514773089506E-2</v>
      </c>
      <c r="J18" s="25">
        <f t="shared" si="1"/>
        <v>-1.5910064855415983E-2</v>
      </c>
      <c r="K18" s="26">
        <f t="shared" si="2"/>
        <v>-1.3597875082611492</v>
      </c>
      <c r="L18" s="27">
        <f t="shared" si="3"/>
        <v>-0.40702706882295525</v>
      </c>
      <c r="M18" s="28">
        <f t="shared" si="4"/>
        <v>-0.96081748162804359</v>
      </c>
      <c r="N18" s="29">
        <f t="shared" si="5"/>
        <v>-0.23258340020867754</v>
      </c>
      <c r="O18" s="30">
        <f t="shared" si="6"/>
        <v>-0.56840963713725867</v>
      </c>
      <c r="P18" s="31">
        <f t="shared" si="7"/>
        <v>-0.59075586015225012</v>
      </c>
      <c r="Q18" s="20">
        <v>0.493631072256217</v>
      </c>
      <c r="R18" s="20">
        <v>8.6204997522362797E-2</v>
      </c>
      <c r="S18" s="20">
        <v>0.34147610224341701</v>
      </c>
      <c r="T18" s="20">
        <v>0.16748589495875099</v>
      </c>
      <c r="U18" s="20">
        <v>0.40772945021935703</v>
      </c>
      <c r="V18" s="20">
        <v>0.28421004082882201</v>
      </c>
    </row>
    <row r="19" spans="1:22" ht="14.4" x14ac:dyDescent="0.3">
      <c r="A19" s="21" t="s">
        <v>42</v>
      </c>
      <c r="B19" s="21" t="s">
        <v>30</v>
      </c>
      <c r="C19" s="25">
        <v>-0.11667910678108399</v>
      </c>
      <c r="D19" s="91">
        <v>-0.105878226973809</v>
      </c>
      <c r="E19" s="92">
        <v>-9.2682173514196706E-2</v>
      </c>
      <c r="F19" s="28">
        <v>-0.116313384088019</v>
      </c>
      <c r="G19" s="93">
        <v>-0.11284932402756399</v>
      </c>
      <c r="H19" s="94">
        <v>-0.12694084906504</v>
      </c>
      <c r="I19" s="12">
        <f t="shared" si="0"/>
        <v>-0.11189051074161878</v>
      </c>
      <c r="J19" s="25">
        <f t="shared" si="1"/>
        <v>-0.98632392912064659</v>
      </c>
      <c r="K19" s="26">
        <f t="shared" si="2"/>
        <v>-0.82082776508988964</v>
      </c>
      <c r="L19" s="27">
        <f t="shared" si="3"/>
        <v>-0.5475501672754286</v>
      </c>
      <c r="M19" s="28">
        <f t="shared" si="4"/>
        <v>-1.1668948892040407</v>
      </c>
      <c r="N19" s="29">
        <f t="shared" si="5"/>
        <v>-1.0362275398876835</v>
      </c>
      <c r="O19" s="30">
        <f t="shared" si="6"/>
        <v>-1.4644900023488461</v>
      </c>
      <c r="P19" s="31">
        <f t="shared" si="7"/>
        <v>-1.0037190488210892</v>
      </c>
      <c r="Q19" s="20">
        <v>0.161149939422982</v>
      </c>
      <c r="R19" s="20">
        <v>0.20506271216920299</v>
      </c>
      <c r="S19" s="20">
        <v>0.29134898834019302</v>
      </c>
      <c r="T19" s="20">
        <v>0.120811528557305</v>
      </c>
      <c r="U19" s="20">
        <v>0.14921192401838801</v>
      </c>
      <c r="V19" s="20">
        <v>7.0839634738259799E-2</v>
      </c>
    </row>
    <row r="20" spans="1:22" ht="14.4" x14ac:dyDescent="0.3">
      <c r="A20" s="21" t="s">
        <v>43</v>
      </c>
      <c r="B20" s="21" t="s">
        <v>30</v>
      </c>
      <c r="C20" s="95">
        <v>-9.37309334844246E-2</v>
      </c>
      <c r="D20" s="83">
        <v>-9.6057906734750995E-2</v>
      </c>
      <c r="E20" s="96">
        <v>-7.5182609135532694E-2</v>
      </c>
      <c r="F20" s="57">
        <v>-0.10854593504148601</v>
      </c>
      <c r="G20" s="97">
        <v>-9.27991485696818E-2</v>
      </c>
      <c r="H20" s="98">
        <v>-0.10297350573768201</v>
      </c>
      <c r="I20" s="12">
        <f t="shared" si="0"/>
        <v>-9.4881673117259688E-2</v>
      </c>
      <c r="J20" s="25">
        <f t="shared" si="1"/>
        <v>-0.6142549832025106</v>
      </c>
      <c r="K20" s="26">
        <f t="shared" si="2"/>
        <v>-0.57961890845615271</v>
      </c>
      <c r="L20" s="27">
        <f t="shared" si="3"/>
        <v>-0.22613269346701081</v>
      </c>
      <c r="M20" s="28">
        <f t="shared" si="4"/>
        <v>-0.9459203196346001</v>
      </c>
      <c r="N20" s="29">
        <f t="shared" si="5"/>
        <v>-0.49696958968369576</v>
      </c>
      <c r="O20" s="30">
        <f t="shared" si="6"/>
        <v>-0.78586847053589259</v>
      </c>
      <c r="P20" s="31">
        <f t="shared" si="7"/>
        <v>-0.60812749416331047</v>
      </c>
      <c r="Q20" s="20">
        <v>0.26882051480913</v>
      </c>
      <c r="R20" s="20">
        <v>0.28040864191460202</v>
      </c>
      <c r="S20" s="20">
        <v>0.41024432878545097</v>
      </c>
      <c r="T20" s="20">
        <v>0.171259684000866</v>
      </c>
      <c r="U20" s="20">
        <v>0.30899812263764997</v>
      </c>
      <c r="V20" s="20">
        <v>0.215175119758577</v>
      </c>
    </row>
    <row r="21" spans="1:22" ht="14.4" x14ac:dyDescent="0.3">
      <c r="A21" s="21" t="s">
        <v>44</v>
      </c>
      <c r="B21" s="21" t="s">
        <v>30</v>
      </c>
      <c r="C21" s="99">
        <v>-1.9352811522908801E-2</v>
      </c>
      <c r="D21" s="100">
        <v>-8.4241770835098498E-2</v>
      </c>
      <c r="E21" s="101">
        <v>-5.9035668090485403E-2</v>
      </c>
      <c r="F21" s="59">
        <v>-6.8719576447091896E-2</v>
      </c>
      <c r="G21" s="102">
        <v>-5.9660664132347802E-2</v>
      </c>
      <c r="H21" s="58">
        <v>-5.6760230482167301E-2</v>
      </c>
      <c r="I21" s="12">
        <f t="shared" si="0"/>
        <v>-5.7961786918349946E-2</v>
      </c>
      <c r="J21" s="25">
        <f t="shared" si="1"/>
        <v>0.59167060746837175</v>
      </c>
      <c r="K21" s="26">
        <f t="shared" si="2"/>
        <v>-0.28938839042801268</v>
      </c>
      <c r="L21" s="27">
        <f t="shared" si="3"/>
        <v>7.0440917631574312E-2</v>
      </c>
      <c r="M21" s="28">
        <f t="shared" si="4"/>
        <v>0.1870916119779531</v>
      </c>
      <c r="N21" s="29">
        <f t="shared" si="5"/>
        <v>0.39430396690347552</v>
      </c>
      <c r="O21" s="30">
        <f t="shared" si="6"/>
        <v>0.52263382008690917</v>
      </c>
      <c r="P21" s="31">
        <f t="shared" si="7"/>
        <v>0.24612542227337852</v>
      </c>
      <c r="Q21" s="20">
        <v>0.27634921198414603</v>
      </c>
      <c r="R21" s="20">
        <v>0.38575838326279199</v>
      </c>
      <c r="S21" s="20">
        <v>0.471824197390111</v>
      </c>
      <c r="T21" s="20">
        <v>0.42554019235844398</v>
      </c>
      <c r="U21" s="20">
        <v>0.34617398321429499</v>
      </c>
      <c r="V21" s="20">
        <v>0.29998439973296698</v>
      </c>
    </row>
    <row r="22" spans="1:22" ht="14.4" x14ac:dyDescent="0.3">
      <c r="A22" s="21" t="s">
        <v>45</v>
      </c>
      <c r="B22" s="21" t="s">
        <v>30</v>
      </c>
      <c r="C22" s="58">
        <v>3.3989484916668401E-2</v>
      </c>
      <c r="D22" s="103">
        <v>-2.7973377040400399E-2</v>
      </c>
      <c r="E22" s="104">
        <v>-1.3004205268347601E-2</v>
      </c>
      <c r="F22" s="105">
        <v>-2.58676946285793E-2</v>
      </c>
      <c r="G22" s="106">
        <v>-4.4330634146841602E-2</v>
      </c>
      <c r="H22" s="107">
        <v>-2.2729251282547502E-2</v>
      </c>
      <c r="I22" s="12">
        <f t="shared" si="0"/>
        <v>-1.6652612908341333E-2</v>
      </c>
      <c r="J22" s="25">
        <f t="shared" si="1"/>
        <v>1.4565329977142825</v>
      </c>
      <c r="K22" s="26">
        <f t="shared" si="2"/>
        <v>1.0926882222933156</v>
      </c>
      <c r="L22" s="27">
        <f t="shared" si="3"/>
        <v>0.91590862047545341</v>
      </c>
      <c r="M22" s="28">
        <f t="shared" si="4"/>
        <v>1.4061760351082129</v>
      </c>
      <c r="N22" s="29">
        <f t="shared" si="5"/>
        <v>0.80661160799695286</v>
      </c>
      <c r="O22" s="30">
        <f t="shared" si="6"/>
        <v>1.4862014094567113</v>
      </c>
      <c r="P22" s="31">
        <f t="shared" si="7"/>
        <v>1.1940198155074879</v>
      </c>
      <c r="Q22" s="20">
        <v>7.1927942380251506E-2</v>
      </c>
      <c r="R22" s="20">
        <v>0.136435322766992</v>
      </c>
      <c r="S22" s="20">
        <v>0.179025986966698</v>
      </c>
      <c r="T22" s="20">
        <v>7.9114914605065104E-2</v>
      </c>
      <c r="U22" s="20">
        <v>0.20914039561059</v>
      </c>
      <c r="V22" s="20">
        <v>6.7934433148506904E-2</v>
      </c>
    </row>
    <row r="23" spans="1:22" ht="15.75" customHeight="1" x14ac:dyDescent="0.3">
      <c r="A23" s="21" t="s">
        <v>46</v>
      </c>
      <c r="B23" s="21" t="s">
        <v>30</v>
      </c>
      <c r="C23" s="108">
        <v>-4.4009891341660799E-2</v>
      </c>
      <c r="D23" s="109">
        <v>-8.8085983954083305E-2</v>
      </c>
      <c r="E23" s="110">
        <v>-8.7440758096432605E-2</v>
      </c>
      <c r="F23" s="31">
        <v>-8.7076356778036504E-2</v>
      </c>
      <c r="G23" s="111">
        <v>-6.9560438264677393E-2</v>
      </c>
      <c r="H23" s="62">
        <v>-7.1259811113911803E-2</v>
      </c>
      <c r="I23" s="12">
        <f t="shared" si="0"/>
        <v>-7.4572206591467072E-2</v>
      </c>
      <c r="J23" s="25">
        <f t="shared" si="1"/>
        <v>0.19189439962014634</v>
      </c>
      <c r="K23" s="26">
        <f t="shared" si="2"/>
        <v>-0.38381079504561227</v>
      </c>
      <c r="L23" s="27">
        <f t="shared" si="3"/>
        <v>-0.4512801992748397</v>
      </c>
      <c r="M23" s="28">
        <f t="shared" si="4"/>
        <v>-0.33513667790337259</v>
      </c>
      <c r="N23" s="29">
        <f t="shared" si="5"/>
        <v>0.12804535399024963</v>
      </c>
      <c r="O23" s="30">
        <f t="shared" si="6"/>
        <v>0.11208653979121874</v>
      </c>
      <c r="P23" s="31">
        <f t="shared" si="7"/>
        <v>-0.12303356313703497</v>
      </c>
      <c r="Q23" s="20">
        <v>0.42365196443091901</v>
      </c>
      <c r="R23" s="20">
        <v>0.350066415081907</v>
      </c>
      <c r="S23" s="20">
        <v>0.32533038276095599</v>
      </c>
      <c r="T23" s="20">
        <v>0.36832295319202302</v>
      </c>
      <c r="U23" s="20">
        <v>0.44888092752687397</v>
      </c>
      <c r="V23" s="20">
        <v>0.45522337339734098</v>
      </c>
    </row>
    <row r="24" spans="1:22" ht="15.75" customHeight="1" x14ac:dyDescent="0.3">
      <c r="A24" s="21" t="s">
        <v>47</v>
      </c>
      <c r="B24" s="21" t="s">
        <v>30</v>
      </c>
      <c r="C24" s="112">
        <v>-1.43481567082116E-2</v>
      </c>
      <c r="D24" s="62">
        <v>-6.2435216770768701E-2</v>
      </c>
      <c r="E24" s="113">
        <v>-3.2279087772383301E-2</v>
      </c>
      <c r="F24" s="36">
        <v>-6.2901262554557899E-2</v>
      </c>
      <c r="G24" s="114">
        <v>-3.9526946276723797E-2</v>
      </c>
      <c r="H24" s="109">
        <v>-5.7157479266598601E-2</v>
      </c>
      <c r="I24" s="12">
        <f t="shared" si="0"/>
        <v>-4.4774691558207319E-2</v>
      </c>
      <c r="J24" s="25">
        <f t="shared" si="1"/>
        <v>0.6728133031207344</v>
      </c>
      <c r="K24" s="26">
        <f t="shared" si="2"/>
        <v>0.24622896673908015</v>
      </c>
      <c r="L24" s="27">
        <f t="shared" si="3"/>
        <v>0.56188357686038493</v>
      </c>
      <c r="M24" s="28">
        <f t="shared" si="4"/>
        <v>0.35261563412734453</v>
      </c>
      <c r="N24" s="29">
        <f t="shared" si="5"/>
        <v>0.9358088252333302</v>
      </c>
      <c r="O24" s="30">
        <f t="shared" si="6"/>
        <v>0.51138594939387816</v>
      </c>
      <c r="P24" s="31">
        <f t="shared" si="7"/>
        <v>0.5467893759124588</v>
      </c>
      <c r="Q24" s="20">
        <v>0.249791690016538</v>
      </c>
      <c r="R24" s="20">
        <v>0.40242220808893198</v>
      </c>
      <c r="S24" s="20">
        <v>0.28643451280063498</v>
      </c>
      <c r="T24" s="20">
        <v>0.361730193346256</v>
      </c>
      <c r="U24" s="20">
        <v>0.173851884905006</v>
      </c>
      <c r="V24" s="20">
        <v>0.30392021842894501</v>
      </c>
    </row>
    <row r="25" spans="1:22" ht="15.75" customHeight="1" x14ac:dyDescent="0.3">
      <c r="A25" s="21" t="s">
        <v>48</v>
      </c>
      <c r="B25" s="21" t="s">
        <v>30</v>
      </c>
      <c r="C25" s="115">
        <v>-0.20916350022666699</v>
      </c>
      <c r="D25" s="116">
        <v>-0.16428985463130399</v>
      </c>
      <c r="E25" s="117">
        <v>-0.18888750811767199</v>
      </c>
      <c r="F25" s="74">
        <v>-0.13301194495959201</v>
      </c>
      <c r="G25" s="118">
        <v>-0.14065501874242001</v>
      </c>
      <c r="H25" s="67">
        <v>-0.16064078761096701</v>
      </c>
      <c r="I25" s="12">
        <f t="shared" si="0"/>
        <v>-0.166108102381437</v>
      </c>
      <c r="J25" s="25">
        <f t="shared" si="1"/>
        <v>-2.4858145569078021</v>
      </c>
      <c r="K25" s="26">
        <f t="shared" si="2"/>
        <v>-2.2555469573767839</v>
      </c>
      <c r="L25" s="27">
        <f t="shared" si="3"/>
        <v>-2.3145699025120212</v>
      </c>
      <c r="M25" s="28">
        <f t="shared" si="4"/>
        <v>-1.6419488327728067</v>
      </c>
      <c r="N25" s="29">
        <f t="shared" si="5"/>
        <v>-1.7840734611081104</v>
      </c>
      <c r="O25" s="30">
        <f t="shared" si="6"/>
        <v>-2.4186843661411213</v>
      </c>
      <c r="P25" s="31">
        <f t="shared" si="7"/>
        <v>-2.1501063461364409</v>
      </c>
      <c r="Q25" s="70">
        <v>6.3079639534464301E-3</v>
      </c>
      <c r="R25" s="70">
        <v>1.18065940500004E-2</v>
      </c>
      <c r="S25" s="70">
        <v>1.0100521649693901E-2</v>
      </c>
      <c r="T25" s="70">
        <v>4.9713265032307802E-2</v>
      </c>
      <c r="U25" s="70">
        <v>3.6706267160095001E-2</v>
      </c>
      <c r="V25" s="70">
        <v>7.6107003236267397E-3</v>
      </c>
    </row>
    <row r="26" spans="1:22" ht="15.75" customHeight="1" x14ac:dyDescent="0.3">
      <c r="A26" s="21" t="s">
        <v>49</v>
      </c>
      <c r="B26" s="21" t="s">
        <v>30</v>
      </c>
      <c r="C26" s="55">
        <v>-3.7174265253293898E-2</v>
      </c>
      <c r="D26" s="119">
        <v>-9.2508530020172106E-2</v>
      </c>
      <c r="E26" s="120">
        <v>-5.3836522151896798E-2</v>
      </c>
      <c r="F26" s="121">
        <v>-6.12139515257231E-2</v>
      </c>
      <c r="G26" s="122">
        <v>-7.3110990168677503E-2</v>
      </c>
      <c r="H26" s="123">
        <v>-5.7819560573984199E-2</v>
      </c>
      <c r="I26" s="12">
        <f t="shared" si="0"/>
        <v>-6.261063661562459E-2</v>
      </c>
      <c r="J26" s="25">
        <f t="shared" si="1"/>
        <v>0.30272344734044659</v>
      </c>
      <c r="K26" s="26">
        <f t="shared" si="2"/>
        <v>-0.49243834018090593</v>
      </c>
      <c r="L26" s="27">
        <f t="shared" si="3"/>
        <v>0.16593451492248146</v>
      </c>
      <c r="M26" s="28">
        <f t="shared" si="4"/>
        <v>0.40061760055066636</v>
      </c>
      <c r="N26" s="29">
        <f t="shared" si="5"/>
        <v>3.2551758641623102E-2</v>
      </c>
      <c r="O26" s="30">
        <f t="shared" si="6"/>
        <v>0.49263949823882369</v>
      </c>
      <c r="P26" s="31">
        <f t="shared" si="7"/>
        <v>0.15033807991885587</v>
      </c>
      <c r="Q26" s="20">
        <v>0.38065051360424101</v>
      </c>
      <c r="R26" s="20">
        <v>0.31060180586146702</v>
      </c>
      <c r="S26" s="20">
        <v>0.43387793313971401</v>
      </c>
      <c r="T26" s="20">
        <v>0.34383972166973298</v>
      </c>
      <c r="U26" s="20">
        <v>0.48697103093694599</v>
      </c>
      <c r="V26" s="20">
        <v>0.31053053603775199</v>
      </c>
    </row>
    <row r="27" spans="1:22" ht="15.75" customHeight="1" x14ac:dyDescent="0.3">
      <c r="A27" s="21" t="s">
        <v>50</v>
      </c>
      <c r="B27" s="21" t="s">
        <v>30</v>
      </c>
      <c r="C27" s="41">
        <v>-1.45922862113676E-2</v>
      </c>
      <c r="D27" s="88">
        <v>-6.3115608473243906E-2</v>
      </c>
      <c r="E27" s="61">
        <v>-5.5992265589848197E-2</v>
      </c>
      <c r="F27" s="124">
        <v>-5.5919285883517203E-2</v>
      </c>
      <c r="G27" s="125">
        <v>-4.57508549084416E-2</v>
      </c>
      <c r="H27" s="38">
        <v>-5.5237443475180399E-2</v>
      </c>
      <c r="I27" s="12">
        <f t="shared" si="0"/>
        <v>-4.8434624090266477E-2</v>
      </c>
      <c r="J27" s="25">
        <f t="shared" si="1"/>
        <v>0.66885512284500881</v>
      </c>
      <c r="K27" s="26">
        <f t="shared" si="2"/>
        <v>0.22951703671826559</v>
      </c>
      <c r="L27" s="27">
        <f t="shared" si="3"/>
        <v>0.12633960872869021</v>
      </c>
      <c r="M27" s="28">
        <f t="shared" si="4"/>
        <v>0.55124446070661148</v>
      </c>
      <c r="N27" s="29">
        <f t="shared" si="5"/>
        <v>0.76841416985750355</v>
      </c>
      <c r="O27" s="30">
        <f t="shared" si="6"/>
        <v>0.56575065774353528</v>
      </c>
      <c r="P27" s="31">
        <f t="shared" si="7"/>
        <v>0.48502017609993581</v>
      </c>
      <c r="Q27" s="20">
        <v>0.25105499828130501</v>
      </c>
      <c r="R27" s="20">
        <v>0.40892443826305602</v>
      </c>
      <c r="S27" s="20">
        <v>0.44955824074970402</v>
      </c>
      <c r="T27" s="20">
        <v>0.29007857304394002</v>
      </c>
      <c r="U27" s="20">
        <v>0.220330451121582</v>
      </c>
      <c r="V27" s="20">
        <v>0.28511538265923603</v>
      </c>
    </row>
    <row r="28" spans="1:22" ht="15.75" customHeight="1" x14ac:dyDescent="0.3">
      <c r="A28" s="21" t="s">
        <v>51</v>
      </c>
      <c r="B28" s="21" t="s">
        <v>30</v>
      </c>
      <c r="C28" s="76">
        <v>-1.7754872956797401E-3</v>
      </c>
      <c r="D28" s="87">
        <v>-0.11945204143818899</v>
      </c>
      <c r="E28" s="126">
        <v>-8.7250545440142699E-2</v>
      </c>
      <c r="F28" s="35">
        <v>-9.8509343576865693E-2</v>
      </c>
      <c r="G28" s="127">
        <v>-8.3804417079548305E-2</v>
      </c>
      <c r="H28" s="79">
        <v>-8.0528949417310203E-2</v>
      </c>
      <c r="I28" s="12">
        <f t="shared" si="0"/>
        <v>-7.8553464041289281E-2</v>
      </c>
      <c r="J28" s="25">
        <f t="shared" si="1"/>
        <v>0.87665958732057059</v>
      </c>
      <c r="K28" s="26">
        <f t="shared" si="2"/>
        <v>-1.1542307690051312</v>
      </c>
      <c r="L28" s="27">
        <f t="shared" si="3"/>
        <v>-0.44778653108126848</v>
      </c>
      <c r="M28" s="28">
        <f t="shared" si="4"/>
        <v>-0.66039138142692355</v>
      </c>
      <c r="N28" s="29">
        <f t="shared" si="5"/>
        <v>-0.25505248146717835</v>
      </c>
      <c r="O28" s="30">
        <f t="shared" si="6"/>
        <v>-0.15036377637954479</v>
      </c>
      <c r="P28" s="31">
        <f t="shared" si="7"/>
        <v>-0.29852755867324593</v>
      </c>
      <c r="Q28" s="20">
        <v>0.18951139128775299</v>
      </c>
      <c r="R28" s="20">
        <v>0.123384771893957</v>
      </c>
      <c r="S28" s="20">
        <v>0.32659368830345298</v>
      </c>
      <c r="T28" s="20">
        <v>0.25376761987661001</v>
      </c>
      <c r="U28" s="20">
        <v>0.39899991643712202</v>
      </c>
      <c r="V28" s="20">
        <v>0.44003322865252997</v>
      </c>
    </row>
    <row r="29" spans="1:22" ht="15.75" customHeight="1" x14ac:dyDescent="0.3">
      <c r="A29" s="21" t="s">
        <v>52</v>
      </c>
      <c r="B29" s="21" t="s">
        <v>30</v>
      </c>
      <c r="C29" s="128">
        <v>-3.1181995630375301E-3</v>
      </c>
      <c r="D29" s="129">
        <v>-7.5736874554158701E-2</v>
      </c>
      <c r="E29" s="130">
        <v>-3.6336957773232897E-2</v>
      </c>
      <c r="F29" s="94">
        <v>-5.44647074103837E-2</v>
      </c>
      <c r="G29" s="131">
        <v>-5.4648120267877097E-2</v>
      </c>
      <c r="H29" s="132">
        <v>-3.9546116490141697E-2</v>
      </c>
      <c r="I29" s="12">
        <f t="shared" si="0"/>
        <v>-4.3975162676471939E-2</v>
      </c>
      <c r="J29" s="25">
        <f t="shared" si="1"/>
        <v>0.85488959580408286</v>
      </c>
      <c r="K29" s="26">
        <f t="shared" si="2"/>
        <v>-8.0489265167837581E-2</v>
      </c>
      <c r="L29" s="27">
        <f t="shared" si="3"/>
        <v>0.48735198873089725</v>
      </c>
      <c r="M29" s="28">
        <f t="shared" si="4"/>
        <v>0.5926254662439594</v>
      </c>
      <c r="N29" s="29">
        <f t="shared" si="5"/>
        <v>0.52911845445447658</v>
      </c>
      <c r="O29" s="30">
        <f t="shared" si="6"/>
        <v>1.0100415501183273</v>
      </c>
      <c r="P29" s="31">
        <f t="shared" si="7"/>
        <v>0.56558963169731769</v>
      </c>
      <c r="Q29" s="20">
        <v>0.19548686763038101</v>
      </c>
      <c r="R29" s="20">
        <v>0.467813125905643</v>
      </c>
      <c r="S29" s="20">
        <v>0.31240624473707601</v>
      </c>
      <c r="T29" s="20">
        <v>0.27602881911215799</v>
      </c>
      <c r="U29" s="20">
        <v>0.29772585029384402</v>
      </c>
      <c r="V29" s="20">
        <v>0.15540053635755399</v>
      </c>
    </row>
    <row r="30" spans="1:22" ht="15.75" customHeight="1" x14ac:dyDescent="0.3">
      <c r="A30" s="21" t="s">
        <v>53</v>
      </c>
      <c r="B30" s="21" t="s">
        <v>30</v>
      </c>
      <c r="C30" s="133">
        <v>1.05530526136962E-2</v>
      </c>
      <c r="D30" s="134">
        <v>-0.12676625223979701</v>
      </c>
      <c r="E30" s="135">
        <v>-0.108237341850786</v>
      </c>
      <c r="F30" s="92">
        <v>-0.110465978626023</v>
      </c>
      <c r="G30" s="102">
        <v>-8.5767663426465995E-2</v>
      </c>
      <c r="H30" s="136">
        <v>-0.10045759676961601</v>
      </c>
      <c r="I30" s="12">
        <f t="shared" si="0"/>
        <v>-8.68569633831653E-2</v>
      </c>
      <c r="J30" s="25">
        <f t="shared" si="1"/>
        <v>1.0765476912446823</v>
      </c>
      <c r="K30" s="26">
        <f t="shared" si="2"/>
        <v>-1.3338840167288766</v>
      </c>
      <c r="L30" s="27">
        <f t="shared" si="3"/>
        <v>-0.83325458843844946</v>
      </c>
      <c r="M30" s="28">
        <f t="shared" si="4"/>
        <v>-1.0005432469439215</v>
      </c>
      <c r="N30" s="29">
        <f t="shared" si="5"/>
        <v>-0.30785482242465373</v>
      </c>
      <c r="O30" s="30">
        <f t="shared" si="6"/>
        <v>-0.71463195614666497</v>
      </c>
      <c r="P30" s="31">
        <f t="shared" si="7"/>
        <v>-0.51893682323964729</v>
      </c>
      <c r="Q30" s="20">
        <v>0.14000892639261001</v>
      </c>
      <c r="R30" s="20">
        <v>9.0365521171555094E-2</v>
      </c>
      <c r="S30" s="20">
        <v>0.201537278564342</v>
      </c>
      <c r="T30" s="20">
        <v>0.157686572667498</v>
      </c>
      <c r="U30" s="20">
        <v>0.37869046354388303</v>
      </c>
      <c r="V30" s="20">
        <v>0.236653414020248</v>
      </c>
    </row>
    <row r="31" spans="1:22" ht="15.75" customHeight="1" x14ac:dyDescent="0.3">
      <c r="A31" s="21" t="s">
        <v>54</v>
      </c>
      <c r="B31" s="21" t="s">
        <v>30</v>
      </c>
      <c r="C31" s="50">
        <v>-1.4714350962945599E-2</v>
      </c>
      <c r="D31" s="95">
        <v>-5.9815708716239202E-2</v>
      </c>
      <c r="E31" s="137">
        <v>-4.0077806680266101E-2</v>
      </c>
      <c r="F31" s="123">
        <v>-6.8137745057838497E-2</v>
      </c>
      <c r="G31" s="35">
        <v>-3.71877591399708E-2</v>
      </c>
      <c r="H31" s="40">
        <v>-6.19906728105135E-2</v>
      </c>
      <c r="I31" s="12">
        <f t="shared" si="0"/>
        <v>-4.6987340561295617E-2</v>
      </c>
      <c r="J31" s="25">
        <f t="shared" si="1"/>
        <v>0.66687603270714602</v>
      </c>
      <c r="K31" s="26">
        <f t="shared" si="2"/>
        <v>0.31056989731921508</v>
      </c>
      <c r="L31" s="27">
        <f t="shared" si="3"/>
        <v>0.41864318092402614</v>
      </c>
      <c r="M31" s="28">
        <f t="shared" si="4"/>
        <v>0.20364401419289221</v>
      </c>
      <c r="N31" s="29">
        <f t="shared" si="5"/>
        <v>0.99872225275713078</v>
      </c>
      <c r="O31" s="30">
        <f t="shared" si="6"/>
        <v>0.3745368559619795</v>
      </c>
      <c r="P31" s="31">
        <f t="shared" si="7"/>
        <v>0.49549870564373161</v>
      </c>
      <c r="Q31" s="20">
        <v>0.25168791769725501</v>
      </c>
      <c r="R31" s="20">
        <v>0.37765463377110398</v>
      </c>
      <c r="S31" s="20">
        <v>0.33720828758663302</v>
      </c>
      <c r="T31" s="20">
        <v>0.419040043654901</v>
      </c>
      <c r="U31" s="20">
        <v>0.15812735760518601</v>
      </c>
      <c r="V31" s="20">
        <v>0.35351975278502101</v>
      </c>
    </row>
    <row r="32" spans="1:22" ht="15.75" customHeight="1" x14ac:dyDescent="0.3">
      <c r="A32" s="21" t="s">
        <v>55</v>
      </c>
      <c r="B32" s="21" t="s">
        <v>30</v>
      </c>
      <c r="C32" s="138">
        <v>-1.2150991179808E-2</v>
      </c>
      <c r="D32" s="28">
        <v>-5.1957184552650797E-2</v>
      </c>
      <c r="E32" s="139">
        <v>-3.7161212617155499E-2</v>
      </c>
      <c r="F32" s="37">
        <v>-6.0632120136469701E-2</v>
      </c>
      <c r="G32" s="26">
        <v>-3.08385369116413E-2</v>
      </c>
      <c r="H32" s="140">
        <v>-4.86828385320629E-2</v>
      </c>
      <c r="I32" s="12">
        <f t="shared" si="0"/>
        <v>-4.0237147321631368E-2</v>
      </c>
      <c r="J32" s="25">
        <f t="shared" si="1"/>
        <v>0.70843692560225879</v>
      </c>
      <c r="K32" s="26">
        <f t="shared" si="2"/>
        <v>0.50359268905961763</v>
      </c>
      <c r="L32" s="27">
        <f t="shared" si="3"/>
        <v>0.47221275989209455</v>
      </c>
      <c r="M32" s="28">
        <f t="shared" si="4"/>
        <v>0.41717000276560551</v>
      </c>
      <c r="N32" s="29">
        <f t="shared" si="5"/>
        <v>1.1694872703217305</v>
      </c>
      <c r="O32" s="30">
        <f t="shared" si="6"/>
        <v>0.75134052417857689</v>
      </c>
      <c r="P32" s="31">
        <f t="shared" si="7"/>
        <v>0.67037336196998065</v>
      </c>
      <c r="Q32" s="20">
        <v>0.23857542071379401</v>
      </c>
      <c r="R32" s="20">
        <v>0.30666064102835999</v>
      </c>
      <c r="S32" s="20">
        <v>0.31780359841748301</v>
      </c>
      <c r="T32" s="20">
        <v>0.33774839584746802</v>
      </c>
      <c r="U32" s="20">
        <v>0.120289469750521</v>
      </c>
      <c r="V32" s="20">
        <v>0.225441174499979</v>
      </c>
    </row>
    <row r="33" spans="1:22" ht="15.75" customHeight="1" x14ac:dyDescent="0.3">
      <c r="A33" s="21" t="s">
        <v>56</v>
      </c>
      <c r="B33" s="21" t="s">
        <v>30</v>
      </c>
      <c r="C33" s="141">
        <v>-1.32495739440099E-2</v>
      </c>
      <c r="D33" s="142">
        <v>-7.49544240963122E-2</v>
      </c>
      <c r="E33" s="30">
        <v>-1.6047607768984899E-2</v>
      </c>
      <c r="F33" s="122">
        <v>-6.6217701473302304E-2</v>
      </c>
      <c r="G33" s="143">
        <v>-4.9927974795500499E-2</v>
      </c>
      <c r="H33" s="58">
        <v>-5.5436067867396001E-2</v>
      </c>
      <c r="I33" s="12">
        <f t="shared" si="0"/>
        <v>-4.5972224990917632E-2</v>
      </c>
      <c r="J33" s="25">
        <f t="shared" si="1"/>
        <v>0.69062511436149499</v>
      </c>
      <c r="K33" s="26">
        <f t="shared" si="2"/>
        <v>-6.1270545643900505E-2</v>
      </c>
      <c r="L33" s="27">
        <f t="shared" si="3"/>
        <v>0.86000992937833587</v>
      </c>
      <c r="M33" s="28">
        <f t="shared" si="4"/>
        <v>0.25826694150219065</v>
      </c>
      <c r="N33" s="29">
        <f t="shared" si="5"/>
        <v>0.6560687635650031</v>
      </c>
      <c r="O33" s="30">
        <f t="shared" si="6"/>
        <v>0.5601267223970211</v>
      </c>
      <c r="P33" s="31">
        <f t="shared" si="7"/>
        <v>0.49397115426002425</v>
      </c>
      <c r="Q33" s="20">
        <v>0.24414882356576201</v>
      </c>
      <c r="R33" s="20">
        <v>0.47548730726358002</v>
      </c>
      <c r="S33" s="20">
        <v>0.19407123276938501</v>
      </c>
      <c r="T33" s="20">
        <v>0.397755066684987</v>
      </c>
      <c r="U33" s="20">
        <v>0.25515892833131198</v>
      </c>
      <c r="V33" s="20">
        <v>0.287034762456502</v>
      </c>
    </row>
    <row r="34" spans="1:22" ht="15.75" customHeight="1" x14ac:dyDescent="0.3">
      <c r="A34" s="21" t="s">
        <v>57</v>
      </c>
      <c r="B34" s="21" t="s">
        <v>30</v>
      </c>
      <c r="C34" s="59">
        <v>1.2017829632632E-2</v>
      </c>
      <c r="D34" s="144">
        <v>-4.8521206455151102E-2</v>
      </c>
      <c r="E34" s="145">
        <v>-9.5740370332547404E-4</v>
      </c>
      <c r="F34" s="146">
        <v>-3.2878762869082701E-2</v>
      </c>
      <c r="G34" s="147">
        <v>-2.0855220381570401E-2</v>
      </c>
      <c r="H34" s="146">
        <v>-4.2194441719684103E-2</v>
      </c>
      <c r="I34" s="12">
        <f t="shared" si="0"/>
        <v>-2.2231534249363628E-2</v>
      </c>
      <c r="J34" s="25">
        <f t="shared" si="1"/>
        <v>1.1002967728990327</v>
      </c>
      <c r="K34" s="26">
        <f t="shared" si="2"/>
        <v>0.58798793566472884</v>
      </c>
      <c r="L34" s="27">
        <f t="shared" si="3"/>
        <v>1.1371742727348677</v>
      </c>
      <c r="M34" s="28">
        <f t="shared" si="4"/>
        <v>1.206719588418198</v>
      </c>
      <c r="N34" s="29">
        <f t="shared" si="5"/>
        <v>1.4379927913608099</v>
      </c>
      <c r="O34" s="30">
        <f t="shared" si="6"/>
        <v>0.93505574549810899</v>
      </c>
      <c r="P34" s="31">
        <f t="shared" si="7"/>
        <v>1.0675378510959577</v>
      </c>
      <c r="Q34" s="20">
        <v>0.134772573599382</v>
      </c>
      <c r="R34" s="20">
        <v>0.27758659982158601</v>
      </c>
      <c r="S34" s="20">
        <v>0.126910834602392</v>
      </c>
      <c r="T34" s="20">
        <v>0.112966418266612</v>
      </c>
      <c r="U34" s="20">
        <v>7.4513449375832E-2</v>
      </c>
      <c r="V34" s="20">
        <v>0.17404593914477301</v>
      </c>
    </row>
    <row r="35" spans="1:22" ht="15.75" customHeight="1" x14ac:dyDescent="0.3">
      <c r="A35" s="21" t="s">
        <v>58</v>
      </c>
      <c r="B35" s="21" t="s">
        <v>30</v>
      </c>
      <c r="C35" s="84">
        <v>-4.5230538857440598E-2</v>
      </c>
      <c r="D35" s="148">
        <v>-8.3901574983860902E-2</v>
      </c>
      <c r="E35" s="23">
        <v>-5.3456096839317201E-2</v>
      </c>
      <c r="F35" s="39">
        <v>-8.0443478940547805E-2</v>
      </c>
      <c r="G35" s="149">
        <v>-5.21418483356417E-2</v>
      </c>
      <c r="H35" s="150">
        <v>-7.2981222513114397E-2</v>
      </c>
      <c r="I35" s="12">
        <f t="shared" si="0"/>
        <v>-6.4692460078320441E-2</v>
      </c>
      <c r="J35" s="25">
        <f t="shared" si="1"/>
        <v>0.17210349824152138</v>
      </c>
      <c r="K35" s="26">
        <f t="shared" si="2"/>
        <v>-0.28103242541760559</v>
      </c>
      <c r="L35" s="27">
        <f t="shared" si="3"/>
        <v>0.17292185130961996</v>
      </c>
      <c r="M35" s="28">
        <f t="shared" si="4"/>
        <v>-0.14643929265306799</v>
      </c>
      <c r="N35" s="29">
        <f t="shared" si="5"/>
        <v>0.59652569822997836</v>
      </c>
      <c r="O35" s="30">
        <f t="shared" si="6"/>
        <v>6.3345766788075991E-2</v>
      </c>
      <c r="P35" s="31">
        <f t="shared" si="7"/>
        <v>9.6237516083087019E-2</v>
      </c>
      <c r="Q35" s="20">
        <v>0.43144360383526498</v>
      </c>
      <c r="R35" s="20">
        <v>0.38896924616789702</v>
      </c>
      <c r="S35" s="20">
        <v>0.43112086872940403</v>
      </c>
      <c r="T35" s="20">
        <v>0.44158697325157598</v>
      </c>
      <c r="U35" s="20">
        <v>0.27472203433697601</v>
      </c>
      <c r="V35" s="20">
        <v>0.47465816655193199</v>
      </c>
    </row>
    <row r="36" spans="1:22" ht="15.75" customHeight="1" x14ac:dyDescent="0.3">
      <c r="A36" s="21" t="s">
        <v>59</v>
      </c>
      <c r="B36" s="21" t="s">
        <v>30</v>
      </c>
      <c r="C36" s="30">
        <v>-3.6686006246981998E-2</v>
      </c>
      <c r="D36" s="107">
        <v>-8.1350106099578906E-2</v>
      </c>
      <c r="E36" s="151">
        <v>-8.4714376689611806E-2</v>
      </c>
      <c r="F36" s="143">
        <v>-8.7949103861916594E-2</v>
      </c>
      <c r="G36" s="152">
        <v>-5.3812696290465298E-2</v>
      </c>
      <c r="H36" s="153">
        <v>-6.8942526538062196E-2</v>
      </c>
      <c r="I36" s="12">
        <f t="shared" si="0"/>
        <v>-6.8909135954436138E-2</v>
      </c>
      <c r="J36" s="25">
        <f t="shared" si="1"/>
        <v>0.31063980789189627</v>
      </c>
      <c r="K36" s="26">
        <f t="shared" si="2"/>
        <v>-0.21836268783955165</v>
      </c>
      <c r="L36" s="27">
        <f t="shared" si="3"/>
        <v>-0.40120428850034062</v>
      </c>
      <c r="M36" s="28">
        <f t="shared" si="4"/>
        <v>-0.35996528122578109</v>
      </c>
      <c r="N36" s="29">
        <f t="shared" si="5"/>
        <v>0.55158753571297725</v>
      </c>
      <c r="O36" s="30">
        <f t="shared" si="6"/>
        <v>0.17769911883390982</v>
      </c>
      <c r="P36" s="31">
        <f t="shared" si="7"/>
        <v>1.0065700812184988E-2</v>
      </c>
      <c r="Q36" s="20">
        <v>0.37762797372860102</v>
      </c>
      <c r="R36" s="20">
        <v>0.41327844943131697</v>
      </c>
      <c r="S36" s="20">
        <v>0.34362311310595101</v>
      </c>
      <c r="T36" s="20">
        <v>0.35897011299859999</v>
      </c>
      <c r="U36" s="20">
        <v>0.289960726273923</v>
      </c>
      <c r="V36" s="20">
        <v>0.42923777523895301</v>
      </c>
    </row>
    <row r="37" spans="1:22" ht="15.75" customHeight="1" x14ac:dyDescent="0.3">
      <c r="A37" s="21" t="s">
        <v>60</v>
      </c>
      <c r="B37" s="21" t="s">
        <v>30</v>
      </c>
      <c r="C37" s="25">
        <v>-4.8892481404780003E-2</v>
      </c>
      <c r="D37" s="28">
        <v>-0.13765251947939999</v>
      </c>
      <c r="E37" s="112">
        <v>-0.100692239817957</v>
      </c>
      <c r="F37" s="52">
        <v>-0.113200586155513</v>
      </c>
      <c r="G37" s="134">
        <v>-8.8566333750795506E-2</v>
      </c>
      <c r="H37" s="140">
        <v>-9.9927931723708202E-2</v>
      </c>
      <c r="I37" s="12">
        <f t="shared" si="0"/>
        <v>-9.8155348722025595E-2</v>
      </c>
      <c r="J37" s="25">
        <f t="shared" si="1"/>
        <v>0.11273079410564633</v>
      </c>
      <c r="K37" s="26">
        <f t="shared" si="2"/>
        <v>-1.6012748970619017</v>
      </c>
      <c r="L37" s="27">
        <f t="shared" si="3"/>
        <v>-0.69467241676019653</v>
      </c>
      <c r="M37" s="28">
        <f t="shared" si="4"/>
        <v>-1.0783395373541074</v>
      </c>
      <c r="N37" s="29">
        <f t="shared" si="5"/>
        <v>-0.38312624464063028</v>
      </c>
      <c r="O37" s="30">
        <f t="shared" si="6"/>
        <v>-0.69963479522264049</v>
      </c>
      <c r="P37" s="31">
        <f t="shared" si="7"/>
        <v>-0.72405284948897164</v>
      </c>
      <c r="Q37" s="20">
        <v>0.45496709778164002</v>
      </c>
      <c r="R37" s="20">
        <v>5.4046352714883998E-2</v>
      </c>
      <c r="S37" s="20">
        <v>0.242876270818601</v>
      </c>
      <c r="T37" s="20">
        <v>0.13960909209568101</v>
      </c>
      <c r="U37" s="20">
        <v>0.35032090197005</v>
      </c>
      <c r="V37" s="20">
        <v>0.241320910617109</v>
      </c>
    </row>
    <row r="38" spans="1:22" ht="15.75" customHeight="1" x14ac:dyDescent="0.3">
      <c r="A38" s="21" t="s">
        <v>61</v>
      </c>
      <c r="B38" s="21" t="s">
        <v>30</v>
      </c>
      <c r="C38" s="111">
        <v>-5.0845517430027597E-2</v>
      </c>
      <c r="D38" s="106">
        <v>-0.121799392811729</v>
      </c>
      <c r="E38" s="154">
        <v>-8.4841185127138299E-2</v>
      </c>
      <c r="F38" s="60">
        <v>-9.7694779631910894E-2</v>
      </c>
      <c r="G38" s="84">
        <v>-8.1757628334889504E-2</v>
      </c>
      <c r="H38" s="117">
        <v>-8.5163518569009403E-2</v>
      </c>
      <c r="I38" s="12">
        <f t="shared" si="0"/>
        <v>-8.7017003650784117E-2</v>
      </c>
      <c r="J38" s="25">
        <f t="shared" si="1"/>
        <v>8.106535189984776E-2</v>
      </c>
      <c r="K38" s="26">
        <f t="shared" si="2"/>
        <v>-1.2118869275769546</v>
      </c>
      <c r="L38" s="27">
        <f t="shared" si="3"/>
        <v>-0.40353340062938609</v>
      </c>
      <c r="M38" s="28">
        <f t="shared" si="4"/>
        <v>-0.63721801832600766</v>
      </c>
      <c r="N38" s="29">
        <f t="shared" si="5"/>
        <v>-0.20000323238385478</v>
      </c>
      <c r="O38" s="30">
        <f t="shared" si="6"/>
        <v>-0.28158893446492655</v>
      </c>
      <c r="P38" s="31">
        <f t="shared" si="7"/>
        <v>-0.44219419358021367</v>
      </c>
      <c r="Q38" s="20">
        <v>0.46758326031324798</v>
      </c>
      <c r="R38" s="20">
        <v>0.11197577908718501</v>
      </c>
      <c r="S38" s="20">
        <v>0.34276369854662803</v>
      </c>
      <c r="T38" s="20">
        <v>0.26127267486429501</v>
      </c>
      <c r="U38" s="20">
        <v>0.42046795356744798</v>
      </c>
      <c r="V38" s="20">
        <v>0.38875516344876798</v>
      </c>
    </row>
    <row r="39" spans="1:22" ht="15.75" customHeight="1" x14ac:dyDescent="0.3">
      <c r="A39" s="21" t="s">
        <v>62</v>
      </c>
      <c r="B39" s="21" t="s">
        <v>30</v>
      </c>
      <c r="C39" s="129">
        <v>-4.5829765819732898E-3</v>
      </c>
      <c r="D39" s="155">
        <v>-7.0361780104604602E-2</v>
      </c>
      <c r="E39" s="156">
        <v>-2.63190912086354E-2</v>
      </c>
      <c r="F39" s="122">
        <v>-4.84136609621484E-2</v>
      </c>
      <c r="G39" s="157">
        <v>-5.0846941170653498E-2</v>
      </c>
      <c r="H39" s="62">
        <v>-4.3386188072978199E-2</v>
      </c>
      <c r="I39" s="12">
        <f t="shared" si="0"/>
        <v>-4.0651773016832232E-2</v>
      </c>
      <c r="J39" s="25">
        <f t="shared" si="1"/>
        <v>0.83114051414973289</v>
      </c>
      <c r="K39" s="26">
        <f t="shared" si="2"/>
        <v>5.1534981996596702E-2</v>
      </c>
      <c r="L39" s="27">
        <f t="shared" si="3"/>
        <v>0.67135184692557082</v>
      </c>
      <c r="M39" s="28">
        <f t="shared" si="4"/>
        <v>0.76477044927932492</v>
      </c>
      <c r="N39" s="29">
        <f t="shared" si="5"/>
        <v>0.63135277418065194</v>
      </c>
      <c r="O39" s="30">
        <f t="shared" si="6"/>
        <v>0.9013121334190104</v>
      </c>
      <c r="P39" s="31">
        <f t="shared" si="7"/>
        <v>0.64191044999181457</v>
      </c>
      <c r="Q39" s="20">
        <v>0.20213445515076101</v>
      </c>
      <c r="R39" s="20">
        <v>0.47937844494732101</v>
      </c>
      <c r="S39" s="20">
        <v>0.25025774069102602</v>
      </c>
      <c r="T39" s="20">
        <v>0.22141553183399099</v>
      </c>
      <c r="U39" s="20">
        <v>0.26319014948589498</v>
      </c>
      <c r="V39" s="20">
        <v>0.18288205525642301</v>
      </c>
    </row>
    <row r="40" spans="1:22" ht="15.75" customHeight="1" x14ac:dyDescent="0.3">
      <c r="A40" s="21" t="s">
        <v>63</v>
      </c>
      <c r="B40" s="21" t="s">
        <v>30</v>
      </c>
      <c r="C40" s="158">
        <v>1.5801836931549299E-2</v>
      </c>
      <c r="D40" s="159">
        <v>-0.12288801953568899</v>
      </c>
      <c r="E40" s="23">
        <v>-8.0212677157419199E-2</v>
      </c>
      <c r="F40" s="88">
        <v>-0.104094924913698</v>
      </c>
      <c r="G40" s="23">
        <v>-8.0212093976677695E-2</v>
      </c>
      <c r="H40" s="160">
        <v>-8.7878051929290296E-2</v>
      </c>
      <c r="I40" s="12">
        <f t="shared" si="0"/>
        <v>-7.6580655096870828E-2</v>
      </c>
      <c r="J40" s="25">
        <f t="shared" si="1"/>
        <v>1.161648567172769</v>
      </c>
      <c r="K40" s="26">
        <f t="shared" si="2"/>
        <v>-1.2386260156102498</v>
      </c>
      <c r="L40" s="27">
        <f t="shared" si="3"/>
        <v>-0.31852080791918869</v>
      </c>
      <c r="M40" s="28">
        <f t="shared" si="4"/>
        <v>-0.81929444269032992</v>
      </c>
      <c r="N40" s="29">
        <f t="shared" si="5"/>
        <v>-0.15843543205562921</v>
      </c>
      <c r="O40" s="30">
        <f t="shared" si="6"/>
        <v>-0.35844938420064826</v>
      </c>
      <c r="P40" s="31">
        <f t="shared" si="7"/>
        <v>-0.28861291921721283</v>
      </c>
      <c r="Q40" s="20">
        <v>0.121872917474866</v>
      </c>
      <c r="R40" s="20">
        <v>0.10694877545977501</v>
      </c>
      <c r="S40" s="20">
        <v>0.37462635972263703</v>
      </c>
      <c r="T40" s="20">
        <v>0.205500234891966</v>
      </c>
      <c r="U40" s="20">
        <v>0.43684050215913101</v>
      </c>
      <c r="V40" s="20">
        <v>0.359538794922238</v>
      </c>
    </row>
    <row r="41" spans="1:22" ht="15.75" customHeight="1" x14ac:dyDescent="0.3">
      <c r="A41" s="21" t="s">
        <v>64</v>
      </c>
      <c r="B41" s="21" t="s">
        <v>30</v>
      </c>
      <c r="C41" s="119">
        <v>-0.11969003732000801</v>
      </c>
      <c r="D41" s="25">
        <v>-8.8120003539207098E-2</v>
      </c>
      <c r="E41" s="152">
        <v>-8.9850118409437005E-2</v>
      </c>
      <c r="F41" s="91">
        <v>-0.118727984353421</v>
      </c>
      <c r="G41" s="161">
        <v>-0.102782465099752</v>
      </c>
      <c r="H41" s="31">
        <v>-0.11118331394926299</v>
      </c>
      <c r="I41" s="12">
        <f t="shared" si="0"/>
        <v>-0.10505898711184801</v>
      </c>
      <c r="J41" s="25">
        <f t="shared" si="1"/>
        <v>-1.0351414858545964</v>
      </c>
      <c r="K41" s="26">
        <f t="shared" si="2"/>
        <v>-0.38464639154665381</v>
      </c>
      <c r="L41" s="27">
        <f t="shared" si="3"/>
        <v>-0.49553332972672209</v>
      </c>
      <c r="M41" s="28">
        <f t="shared" si="4"/>
        <v>-1.2355873583960493</v>
      </c>
      <c r="N41" s="29">
        <f t="shared" si="5"/>
        <v>-0.76547511072275631</v>
      </c>
      <c r="O41" s="30">
        <f t="shared" si="6"/>
        <v>-1.0183244648585561</v>
      </c>
      <c r="P41" s="31">
        <f t="shared" si="7"/>
        <v>-0.82245135685088899</v>
      </c>
      <c r="Q41" s="20">
        <v>0.149465276642051</v>
      </c>
      <c r="R41" s="20">
        <v>0.349755866892139</v>
      </c>
      <c r="S41" s="20">
        <v>0.309506046490651</v>
      </c>
      <c r="T41" s="20">
        <v>0.10751170946867999</v>
      </c>
      <c r="U41" s="20">
        <v>0.221205449393542</v>
      </c>
      <c r="V41" s="20">
        <v>0.153424956964131</v>
      </c>
    </row>
    <row r="42" spans="1:22" ht="15.75" customHeight="1" x14ac:dyDescent="0.3">
      <c r="A42" s="21" t="s">
        <v>65</v>
      </c>
      <c r="B42" s="21" t="s">
        <v>30</v>
      </c>
      <c r="C42" s="162">
        <v>-0.12180582634735999</v>
      </c>
      <c r="D42" s="26">
        <v>-8.0227459790494907E-2</v>
      </c>
      <c r="E42" s="71">
        <v>-7.9663173928137501E-2</v>
      </c>
      <c r="F42" s="75">
        <v>-0.10997142194515699</v>
      </c>
      <c r="G42" s="51">
        <v>-9.2297894183234794E-2</v>
      </c>
      <c r="H42" s="73">
        <v>-0.114714414255319</v>
      </c>
      <c r="I42" s="12">
        <f t="shared" si="0"/>
        <v>-9.9780031741617203E-2</v>
      </c>
      <c r="J42" s="25">
        <f t="shared" si="1"/>
        <v>-1.0694457149108851</v>
      </c>
      <c r="K42" s="26">
        <f t="shared" si="2"/>
        <v>-0.19078800330520987</v>
      </c>
      <c r="L42" s="27">
        <f t="shared" si="3"/>
        <v>-0.30842798869332089</v>
      </c>
      <c r="M42" s="28">
        <f t="shared" si="4"/>
        <v>-0.98647370506120557</v>
      </c>
      <c r="N42" s="29">
        <f t="shared" si="5"/>
        <v>-0.48348814092859738</v>
      </c>
      <c r="O42" s="30">
        <f t="shared" si="6"/>
        <v>-1.1183055376854987</v>
      </c>
      <c r="P42" s="31">
        <f t="shared" si="7"/>
        <v>-0.69282151509745304</v>
      </c>
      <c r="Q42" s="20">
        <v>0.141601317168533</v>
      </c>
      <c r="R42" s="20">
        <v>0.424086793164486</v>
      </c>
      <c r="S42" s="20">
        <v>0.37847172169369703</v>
      </c>
      <c r="T42" s="20">
        <v>0.16111320212947799</v>
      </c>
      <c r="U42" s="20">
        <v>0.31378000300997</v>
      </c>
      <c r="V42" s="20">
        <v>0.13089256935697</v>
      </c>
    </row>
    <row r="43" spans="1:22" ht="15.75" customHeight="1" x14ac:dyDescent="0.3">
      <c r="A43" s="21" t="s">
        <v>66</v>
      </c>
      <c r="B43" s="21" t="s">
        <v>30</v>
      </c>
      <c r="C43" s="163">
        <v>-0.12237546185472301</v>
      </c>
      <c r="D43" s="137">
        <v>-6.9998904529951195E-2</v>
      </c>
      <c r="E43" s="164">
        <v>-6.6517365904551803E-2</v>
      </c>
      <c r="F43" s="55">
        <v>-0.107847737374382</v>
      </c>
      <c r="G43" s="75">
        <v>-8.8496715086011202E-2</v>
      </c>
      <c r="H43" s="64">
        <v>-0.106637022305215</v>
      </c>
      <c r="I43" s="12">
        <f t="shared" si="0"/>
        <v>-9.3645534509139039E-2</v>
      </c>
      <c r="J43" s="25">
        <f t="shared" si="1"/>
        <v>-1.0786814688875623</v>
      </c>
      <c r="K43" s="26">
        <f t="shared" si="2"/>
        <v>6.0448011341030235E-2</v>
      </c>
      <c r="L43" s="27">
        <f t="shared" si="3"/>
        <v>-6.6976697982167738E-2</v>
      </c>
      <c r="M43" s="28">
        <f t="shared" si="4"/>
        <v>-0.9260574369766752</v>
      </c>
      <c r="N43" s="29">
        <f t="shared" si="5"/>
        <v>-0.38125382120242218</v>
      </c>
      <c r="O43" s="30">
        <f t="shared" si="6"/>
        <v>-0.88959883359384251</v>
      </c>
      <c r="P43" s="31">
        <f t="shared" si="7"/>
        <v>-0.54702004121693992</v>
      </c>
      <c r="Q43" s="20">
        <v>0.13953288146811599</v>
      </c>
      <c r="R43" s="20">
        <v>0.475815974914571</v>
      </c>
      <c r="S43" s="20">
        <v>0.47320771845071402</v>
      </c>
      <c r="T43" s="20">
        <v>0.17637527541710399</v>
      </c>
      <c r="U43" s="20">
        <v>0.35101733288150699</v>
      </c>
      <c r="V43" s="20">
        <v>0.186013645946078</v>
      </c>
    </row>
    <row r="44" spans="1:22" ht="15.75" customHeight="1" x14ac:dyDescent="0.3">
      <c r="A44" s="21" t="s">
        <v>67</v>
      </c>
      <c r="B44" s="21" t="s">
        <v>30</v>
      </c>
      <c r="C44" s="58">
        <v>-0.10097344207805101</v>
      </c>
      <c r="D44" s="165">
        <v>-5.7887932225892898E-2</v>
      </c>
      <c r="E44" s="72">
        <v>-4.6650710692058998E-2</v>
      </c>
      <c r="F44" s="115">
        <v>-8.0036196968070406E-2</v>
      </c>
      <c r="G44" s="166">
        <v>-7.8764025749163899E-2</v>
      </c>
      <c r="H44" s="167">
        <v>-9.1894678527429594E-2</v>
      </c>
      <c r="I44" s="12">
        <f t="shared" si="0"/>
        <v>-7.6034497706777809E-2</v>
      </c>
      <c r="J44" s="25">
        <f t="shared" si="1"/>
        <v>-0.73168099804901221</v>
      </c>
      <c r="K44" s="26">
        <f t="shared" si="2"/>
        <v>0.35792036571152019</v>
      </c>
      <c r="L44" s="27">
        <f t="shared" si="3"/>
        <v>0.29791753556844869</v>
      </c>
      <c r="M44" s="28">
        <f t="shared" si="4"/>
        <v>-0.13485261110261001</v>
      </c>
      <c r="N44" s="29">
        <f t="shared" si="5"/>
        <v>-0.11948902454089455</v>
      </c>
      <c r="O44" s="30">
        <f t="shared" si="6"/>
        <v>-0.47217785454131217</v>
      </c>
      <c r="P44" s="31">
        <f t="shared" si="7"/>
        <v>-0.13372709782564332</v>
      </c>
      <c r="Q44" s="20">
        <v>0.231408197819542</v>
      </c>
      <c r="R44" s="20">
        <v>0.359737327138275</v>
      </c>
      <c r="S44" s="20">
        <v>0.38248902867602302</v>
      </c>
      <c r="T44" s="20">
        <v>0.44617942089305401</v>
      </c>
      <c r="U44" s="20">
        <v>0.45227991509209597</v>
      </c>
      <c r="V44" s="20">
        <v>0.31781608810647599</v>
      </c>
    </row>
    <row r="45" spans="1:22" ht="15.75" customHeight="1" x14ac:dyDescent="0.3">
      <c r="A45" s="21" t="s">
        <v>68</v>
      </c>
      <c r="B45" s="21" t="s">
        <v>30</v>
      </c>
      <c r="C45" s="119">
        <v>-8.94179789286694E-2</v>
      </c>
      <c r="D45" s="23">
        <v>-5.6890024395595901E-2</v>
      </c>
      <c r="E45" s="23">
        <v>-4.5509434754319997E-2</v>
      </c>
      <c r="F45" s="98">
        <v>-8.2421705664009304E-2</v>
      </c>
      <c r="G45" s="168">
        <v>-8.1186755283658096E-2</v>
      </c>
      <c r="H45" s="162">
        <v>-7.5033674566009803E-2</v>
      </c>
      <c r="I45" s="12">
        <f t="shared" si="0"/>
        <v>-7.1743262265377084E-2</v>
      </c>
      <c r="J45" s="25">
        <f t="shared" si="1"/>
        <v>-0.54432713166470381</v>
      </c>
      <c r="K45" s="26">
        <f t="shared" si="2"/>
        <v>0.38243119640871559</v>
      </c>
      <c r="L45" s="27">
        <f t="shared" si="3"/>
        <v>0.31887954472986801</v>
      </c>
      <c r="M45" s="28">
        <f t="shared" si="4"/>
        <v>-0.20271746018385936</v>
      </c>
      <c r="N45" s="29">
        <f t="shared" si="5"/>
        <v>-0.18464936019054573</v>
      </c>
      <c r="O45" s="30">
        <f t="shared" si="6"/>
        <v>5.2317682074056078E-3</v>
      </c>
      <c r="P45" s="31">
        <f t="shared" si="7"/>
        <v>-3.7525240448853282E-2</v>
      </c>
      <c r="Q45" s="20">
        <v>0.29245946088192698</v>
      </c>
      <c r="R45" s="20">
        <v>0.35057936027625097</v>
      </c>
      <c r="S45" s="20">
        <v>0.37448990769445001</v>
      </c>
      <c r="T45" s="20">
        <v>0.41940333657223</v>
      </c>
      <c r="U45" s="20">
        <v>0.42650102796226302</v>
      </c>
      <c r="V45" s="20">
        <v>0.49790560148957502</v>
      </c>
    </row>
    <row r="46" spans="1:22" ht="15.75" customHeight="1" x14ac:dyDescent="0.3">
      <c r="A46" s="21" t="s">
        <v>69</v>
      </c>
      <c r="B46" s="21" t="s">
        <v>30</v>
      </c>
      <c r="C46" s="169">
        <v>-0.12514226289049099</v>
      </c>
      <c r="D46" s="170">
        <v>-6.9361604301966098E-2</v>
      </c>
      <c r="E46" s="171">
        <v>-6.6263749029498706E-2</v>
      </c>
      <c r="F46" s="172">
        <v>-0.105229496122742</v>
      </c>
      <c r="G46" s="173">
        <v>-8.6408155142481693E-2</v>
      </c>
      <c r="H46" s="83">
        <v>-0.100898984307873</v>
      </c>
      <c r="I46" s="12">
        <f t="shared" si="0"/>
        <v>-9.2217375299175411E-2</v>
      </c>
      <c r="J46" s="25">
        <f t="shared" si="1"/>
        <v>-1.123540845345786</v>
      </c>
      <c r="K46" s="26">
        <f t="shared" si="2"/>
        <v>7.6101519127192874E-2</v>
      </c>
      <c r="L46" s="27">
        <f t="shared" si="3"/>
        <v>-6.2318473724074806E-2</v>
      </c>
      <c r="M46" s="28">
        <f t="shared" si="4"/>
        <v>-0.85157162700945765</v>
      </c>
      <c r="N46" s="29">
        <f t="shared" si="5"/>
        <v>-0.32508111805617046</v>
      </c>
      <c r="O46" s="30">
        <f t="shared" si="6"/>
        <v>-0.72712959025003265</v>
      </c>
      <c r="P46" s="31">
        <f t="shared" si="7"/>
        <v>-0.50225668920972144</v>
      </c>
      <c r="Q46" s="20">
        <v>0.12977924498839399</v>
      </c>
      <c r="R46" s="20">
        <v>0.469564236445358</v>
      </c>
      <c r="S46" s="20">
        <v>0.475068601122701</v>
      </c>
      <c r="T46" s="20">
        <v>0.19640753665483299</v>
      </c>
      <c r="U46" s="20">
        <v>0.372133525137057</v>
      </c>
      <c r="V46" s="20">
        <v>0.23280208238529701</v>
      </c>
    </row>
    <row r="47" spans="1:22" ht="15.75" customHeight="1" x14ac:dyDescent="0.3">
      <c r="A47" s="21" t="s">
        <v>70</v>
      </c>
      <c r="B47" s="21" t="s">
        <v>30</v>
      </c>
      <c r="C47" s="114">
        <v>-0.14866007169451501</v>
      </c>
      <c r="D47" s="147">
        <v>-9.8303199352919104E-2</v>
      </c>
      <c r="E47" s="174">
        <v>-9.9952523932385504E-2</v>
      </c>
      <c r="F47" s="102">
        <v>-0.112356930641096</v>
      </c>
      <c r="G47" s="145">
        <v>-0.10934054332243499</v>
      </c>
      <c r="H47" s="56">
        <v>-0.10606321850548101</v>
      </c>
      <c r="I47" s="12">
        <f t="shared" si="0"/>
        <v>-0.11244608124147193</v>
      </c>
      <c r="J47" s="25">
        <f t="shared" si="1"/>
        <v>-1.5048455452406253</v>
      </c>
      <c r="K47" s="26">
        <f t="shared" si="2"/>
        <v>-0.634768277524839</v>
      </c>
      <c r="L47" s="27">
        <f t="shared" si="3"/>
        <v>-0.68108592934075951</v>
      </c>
      <c r="M47" s="28">
        <f t="shared" si="4"/>
        <v>-1.0543385541424581</v>
      </c>
      <c r="N47" s="29">
        <f t="shared" si="5"/>
        <v>-0.94185739860199591</v>
      </c>
      <c r="O47" s="30">
        <f t="shared" si="6"/>
        <v>-0.87335190925946715</v>
      </c>
      <c r="P47" s="31">
        <f t="shared" si="7"/>
        <v>-0.94837460235169091</v>
      </c>
      <c r="Q47" s="20">
        <v>6.5513845270593798E-2</v>
      </c>
      <c r="R47" s="20">
        <v>0.26207267422587499</v>
      </c>
      <c r="S47" s="20">
        <v>0.24716230342034301</v>
      </c>
      <c r="T47" s="20">
        <v>0.145029289938788</v>
      </c>
      <c r="U47" s="20">
        <v>0.172298277315168</v>
      </c>
      <c r="V47" s="20">
        <v>0.19041197878793201</v>
      </c>
    </row>
    <row r="48" spans="1:22" ht="15.75" customHeight="1" x14ac:dyDescent="0.3">
      <c r="A48" s="21" t="s">
        <v>71</v>
      </c>
      <c r="B48" s="21" t="s">
        <v>72</v>
      </c>
      <c r="C48" s="92">
        <v>1.6168031186283301E-2</v>
      </c>
      <c r="D48" s="163">
        <v>-1.1371819500005801E-2</v>
      </c>
      <c r="E48" s="175">
        <v>2.35800289580619E-2</v>
      </c>
      <c r="F48" s="176">
        <v>-3.7591597122035199E-2</v>
      </c>
      <c r="G48" s="177">
        <v>-3.6185250367076698E-2</v>
      </c>
      <c r="H48" s="161">
        <v>-2.92838562256649E-2</v>
      </c>
      <c r="I48" s="12">
        <f t="shared" si="0"/>
        <v>-1.2447410511739566E-2</v>
      </c>
      <c r="J48" s="25">
        <f t="shared" si="1"/>
        <v>1.1675858375863575</v>
      </c>
      <c r="K48" s="26">
        <f t="shared" si="2"/>
        <v>1.5004593148011802</v>
      </c>
      <c r="L48" s="27">
        <f t="shared" si="3"/>
        <v>1.5878574697053627</v>
      </c>
      <c r="M48" s="28">
        <f t="shared" si="4"/>
        <v>1.072645130477192</v>
      </c>
      <c r="N48" s="29">
        <f t="shared" si="5"/>
        <v>1.0256851502673299</v>
      </c>
      <c r="O48" s="30">
        <f t="shared" si="6"/>
        <v>1.3006115430216725</v>
      </c>
      <c r="P48" s="31">
        <f t="shared" si="7"/>
        <v>1.2758074076431825</v>
      </c>
      <c r="Q48" s="20">
        <v>0.120672228393837</v>
      </c>
      <c r="R48" s="20">
        <v>6.6077209220677405E-2</v>
      </c>
      <c r="S48" s="20">
        <v>5.5539578314512297E-2</v>
      </c>
      <c r="T48" s="20">
        <v>0.14088243826247701</v>
      </c>
      <c r="U48" s="20">
        <v>0.15168336218633799</v>
      </c>
      <c r="V48" s="20">
        <v>9.5926038649072606E-2</v>
      </c>
    </row>
    <row r="49" spans="1:22" ht="15.75" customHeight="1" x14ac:dyDescent="0.3">
      <c r="A49" s="21" t="s">
        <v>73</v>
      </c>
      <c r="B49" s="21" t="s">
        <v>74</v>
      </c>
      <c r="C49" s="178">
        <v>-8.7464942903421605E-2</v>
      </c>
      <c r="D49" s="104">
        <v>-0.106728716601903</v>
      </c>
      <c r="E49" s="179">
        <v>-5.9289284965538501E-2</v>
      </c>
      <c r="F49" s="180">
        <v>-0.110582344903873</v>
      </c>
      <c r="G49" s="181">
        <v>-9.6085149547501497E-2</v>
      </c>
      <c r="H49" s="182">
        <v>-0.10740945049716499</v>
      </c>
      <c r="I49" s="12">
        <f t="shared" si="0"/>
        <v>-9.4593314903233763E-2</v>
      </c>
      <c r="J49" s="25">
        <f t="shared" si="1"/>
        <v>-0.512661689458902</v>
      </c>
      <c r="K49" s="26">
        <f t="shared" si="2"/>
        <v>-0.84171767761590777</v>
      </c>
      <c r="L49" s="27">
        <f t="shared" si="3"/>
        <v>6.5782693373481374E-2</v>
      </c>
      <c r="M49" s="28">
        <f t="shared" si="4"/>
        <v>-1.0038537273868899</v>
      </c>
      <c r="N49" s="29">
        <f t="shared" si="5"/>
        <v>-0.58534797596713017</v>
      </c>
      <c r="O49" s="30">
        <f t="shared" si="6"/>
        <v>-0.91146969327474292</v>
      </c>
      <c r="P49" s="31">
        <f t="shared" si="7"/>
        <v>-0.6315446783883486</v>
      </c>
      <c r="Q49" s="20">
        <v>0.30347265920741801</v>
      </c>
      <c r="R49" s="20">
        <v>0.19915726022268301</v>
      </c>
      <c r="S49" s="20">
        <v>0.47368464922399001</v>
      </c>
      <c r="T49" s="20">
        <v>0.15688731619181201</v>
      </c>
      <c r="U49" s="20">
        <v>0.27847529626163797</v>
      </c>
      <c r="V49" s="20">
        <v>0.18019320321239499</v>
      </c>
    </row>
    <row r="50" spans="1:22" ht="15.75" customHeight="1" x14ac:dyDescent="0.3">
      <c r="A50" s="21" t="s">
        <v>75</v>
      </c>
      <c r="B50" s="21" t="s">
        <v>74</v>
      </c>
      <c r="C50" s="42">
        <v>-7.7699762777183198E-2</v>
      </c>
      <c r="D50" s="124">
        <v>-7.5702854969034894E-2</v>
      </c>
      <c r="E50" s="52">
        <v>-3.5449298710547E-2</v>
      </c>
      <c r="F50" s="28">
        <v>-8.6814532652872506E-2</v>
      </c>
      <c r="G50" s="183">
        <v>-8.6644858602748398E-2</v>
      </c>
      <c r="H50" s="184">
        <v>-9.5491986964224701E-2</v>
      </c>
      <c r="I50" s="12">
        <f t="shared" si="0"/>
        <v>-7.6300549112768457E-2</v>
      </c>
      <c r="J50" s="25">
        <f t="shared" si="1"/>
        <v>-0.35433447842990196</v>
      </c>
      <c r="K50" s="26">
        <f t="shared" si="2"/>
        <v>-7.9653668666795713E-2</v>
      </c>
      <c r="L50" s="27">
        <f t="shared" si="3"/>
        <v>0.50365577363422354</v>
      </c>
      <c r="M50" s="28">
        <f t="shared" si="4"/>
        <v>-0.32768809690665091</v>
      </c>
      <c r="N50" s="29">
        <f t="shared" si="5"/>
        <v>-0.3314473577460797</v>
      </c>
      <c r="O50" s="30">
        <f t="shared" si="6"/>
        <v>-0.57403357248377562</v>
      </c>
      <c r="P50" s="31">
        <f t="shared" si="7"/>
        <v>-0.19391690009983006</v>
      </c>
      <c r="Q50" s="20">
        <v>0.361084049039744</v>
      </c>
      <c r="R50" s="20">
        <v>0.46814655809671901</v>
      </c>
      <c r="S50" s="20">
        <v>0.30663841423210098</v>
      </c>
      <c r="T50" s="20">
        <v>0.37114438561666901</v>
      </c>
      <c r="U50" s="20">
        <v>0.36971954646049598</v>
      </c>
      <c r="V50" s="20">
        <v>0.28229971765432499</v>
      </c>
    </row>
    <row r="51" spans="1:22" ht="15.75" customHeight="1" x14ac:dyDescent="0.3">
      <c r="A51" s="21" t="s">
        <v>76</v>
      </c>
      <c r="B51" s="21" t="s">
        <v>77</v>
      </c>
      <c r="C51" s="112">
        <v>-0.10321129585698099</v>
      </c>
      <c r="D51" s="40">
        <v>-8.9378728188788299E-4</v>
      </c>
      <c r="E51" s="185">
        <v>-8.4460759814558597E-2</v>
      </c>
      <c r="F51" s="63">
        <v>-0.126902715372431</v>
      </c>
      <c r="G51" s="186">
        <v>-0.16801515400265599</v>
      </c>
      <c r="H51" s="128">
        <v>-0.13779898250616399</v>
      </c>
      <c r="I51" s="12">
        <f t="shared" si="0"/>
        <v>-0.10354711580577974</v>
      </c>
      <c r="J51" s="25">
        <f t="shared" si="1"/>
        <v>-0.76796431724316383</v>
      </c>
      <c r="K51" s="26">
        <f t="shared" si="2"/>
        <v>1.7578230371217181</v>
      </c>
      <c r="L51" s="27">
        <f t="shared" si="3"/>
        <v>-0.39654606424224564</v>
      </c>
      <c r="M51" s="28">
        <f t="shared" si="4"/>
        <v>-1.4681486095159368</v>
      </c>
      <c r="N51" s="29">
        <f t="shared" si="5"/>
        <v>-2.5199358723239929</v>
      </c>
      <c r="O51" s="30">
        <f t="shared" si="6"/>
        <v>-1.7719318012917449</v>
      </c>
      <c r="P51" s="31">
        <f t="shared" si="7"/>
        <v>-0.86111727124922766</v>
      </c>
      <c r="Q51" s="20">
        <v>0.22046424967335501</v>
      </c>
      <c r="R51" s="70">
        <v>3.8873058835474601E-2</v>
      </c>
      <c r="S51" s="20">
        <v>0.34534436539353303</v>
      </c>
      <c r="T51" s="20">
        <v>7.0343499578433499E-2</v>
      </c>
      <c r="U51" s="70">
        <v>5.7247728147825101E-3</v>
      </c>
      <c r="V51" s="70">
        <v>3.76958758266231E-2</v>
      </c>
    </row>
    <row r="52" spans="1:22" ht="15.75" customHeight="1" x14ac:dyDescent="0.3">
      <c r="A52" s="21" t="s">
        <v>78</v>
      </c>
      <c r="B52" s="21" t="s">
        <v>77</v>
      </c>
      <c r="C52" s="174">
        <v>-0.10382161961487101</v>
      </c>
      <c r="D52" s="124">
        <v>-2.4775536038767001E-2</v>
      </c>
      <c r="E52" s="179">
        <v>-0.100692239817957</v>
      </c>
      <c r="F52" s="109">
        <v>-0.14319399427152599</v>
      </c>
      <c r="G52" s="187">
        <v>-0.19215890694985599</v>
      </c>
      <c r="H52" s="188">
        <v>-0.147928826509164</v>
      </c>
      <c r="I52" s="12">
        <f t="shared" si="0"/>
        <v>-0.1187618538670235</v>
      </c>
      <c r="J52" s="25">
        <f t="shared" si="1"/>
        <v>-0.77785976793247813</v>
      </c>
      <c r="K52" s="26">
        <f t="shared" si="2"/>
        <v>1.1712342933911422</v>
      </c>
      <c r="L52" s="27">
        <f t="shared" si="3"/>
        <v>-0.69467241676019653</v>
      </c>
      <c r="M52" s="28">
        <f t="shared" si="4"/>
        <v>-1.9316158715342271</v>
      </c>
      <c r="N52" s="29">
        <f t="shared" si="5"/>
        <v>-3.1692923206946335</v>
      </c>
      <c r="O52" s="30">
        <f t="shared" si="6"/>
        <v>-2.0587525039640888</v>
      </c>
      <c r="P52" s="31">
        <f t="shared" si="7"/>
        <v>-1.2434930979157468</v>
      </c>
      <c r="Q52" s="20">
        <v>0.21753184034269199</v>
      </c>
      <c r="R52" s="20">
        <v>0.119938548438754</v>
      </c>
      <c r="S52" s="20">
        <v>0.242876270818601</v>
      </c>
      <c r="T52" s="70">
        <v>2.6292629298754401E-2</v>
      </c>
      <c r="U52" s="70">
        <v>7.3566972061973597E-4</v>
      </c>
      <c r="V52" s="70">
        <v>1.9419500589497801E-2</v>
      </c>
    </row>
    <row r="53" spans="1:22" ht="15.75" customHeight="1" x14ac:dyDescent="0.3">
      <c r="A53" s="21" t="s">
        <v>79</v>
      </c>
      <c r="B53" s="21" t="s">
        <v>80</v>
      </c>
      <c r="C53" s="110">
        <v>3.3379161158778502E-2</v>
      </c>
      <c r="D53" s="189">
        <v>-9.3971372180493701E-2</v>
      </c>
      <c r="E53" s="163">
        <v>-5.2061204026525101E-2</v>
      </c>
      <c r="F53" s="111">
        <v>-7.5788827826520605E-2</v>
      </c>
      <c r="G53" s="190">
        <v>-5.48987474611006E-2</v>
      </c>
      <c r="H53" s="60">
        <v>-5.7753352443245601E-2</v>
      </c>
      <c r="I53" s="12">
        <f t="shared" si="0"/>
        <v>-5.0182390463184519E-2</v>
      </c>
      <c r="J53" s="25">
        <f t="shared" si="1"/>
        <v>1.4466375470249704</v>
      </c>
      <c r="K53" s="26">
        <f t="shared" si="2"/>
        <v>-0.52836898972565483</v>
      </c>
      <c r="L53" s="27">
        <f t="shared" si="3"/>
        <v>0.19854208472913226</v>
      </c>
      <c r="M53" s="28">
        <f t="shared" si="4"/>
        <v>-1.4020074933554751E-2</v>
      </c>
      <c r="N53" s="29">
        <f t="shared" si="5"/>
        <v>0.52237773007692745</v>
      </c>
      <c r="O53" s="30">
        <f t="shared" si="6"/>
        <v>0.49451414335433025</v>
      </c>
      <c r="P53" s="31">
        <f t="shared" si="7"/>
        <v>0.35328040675435846</v>
      </c>
      <c r="Q53" s="20">
        <v>7.3299209478439695E-2</v>
      </c>
      <c r="R53" s="20">
        <v>0.29798648640839098</v>
      </c>
      <c r="S53" s="20">
        <v>0.421041309327224</v>
      </c>
      <c r="T53" s="20">
        <v>0.49438759724123099</v>
      </c>
      <c r="U53" s="20">
        <v>0.30007375288949001</v>
      </c>
      <c r="V53" s="20">
        <v>0.30986669594879801</v>
      </c>
    </row>
    <row r="54" spans="1:22" ht="15.75" customHeight="1" x14ac:dyDescent="0.3">
      <c r="A54" s="21" t="s">
        <v>81</v>
      </c>
      <c r="B54" s="21" t="s">
        <v>80</v>
      </c>
      <c r="C54" s="73">
        <v>3.6064585693494099E-2</v>
      </c>
      <c r="D54" s="146">
        <v>-8.6112848016905302E-2</v>
      </c>
      <c r="E54" s="82">
        <v>-5.4090139026949903E-2</v>
      </c>
      <c r="F54" s="177">
        <v>-7.6457933924162003E-2</v>
      </c>
      <c r="G54" s="165">
        <v>-5.4063323483688801E-2</v>
      </c>
      <c r="H54" s="176">
        <v>-5.11325393693896E-2</v>
      </c>
      <c r="I54" s="12">
        <f t="shared" si="0"/>
        <v>-4.7632033021266923E-2</v>
      </c>
      <c r="J54" s="25">
        <f t="shared" si="1"/>
        <v>1.4901775300579458</v>
      </c>
      <c r="K54" s="26">
        <f t="shared" si="2"/>
        <v>-0.33534619798525239</v>
      </c>
      <c r="L54" s="27">
        <f t="shared" si="3"/>
        <v>0.16127629066438839</v>
      </c>
      <c r="M54" s="28">
        <f t="shared" si="4"/>
        <v>-3.3055337480734429E-2</v>
      </c>
      <c r="N54" s="29">
        <f t="shared" si="5"/>
        <v>0.54484681133542801</v>
      </c>
      <c r="O54" s="30">
        <f t="shared" si="6"/>
        <v>0.68197865490487564</v>
      </c>
      <c r="P54" s="31">
        <f t="shared" si="7"/>
        <v>0.41831295858277517</v>
      </c>
      <c r="Q54" s="20">
        <v>6.7412499485820093E-2</v>
      </c>
      <c r="R54" s="20">
        <v>0.36824369128603901</v>
      </c>
      <c r="S54" s="20">
        <v>0.43571777351156998</v>
      </c>
      <c r="T54" s="20">
        <v>0.48676954487915702</v>
      </c>
      <c r="U54" s="20">
        <v>0.29228027619844799</v>
      </c>
      <c r="V54" s="20">
        <v>0.24687944543505699</v>
      </c>
    </row>
    <row r="55" spans="1:22" ht="15.75" customHeight="1" x14ac:dyDescent="0.3">
      <c r="A55" s="21" t="s">
        <v>82</v>
      </c>
      <c r="B55" s="21" t="s">
        <v>80</v>
      </c>
      <c r="C55" s="163">
        <v>2.54449523062098E-2</v>
      </c>
      <c r="D55" s="147">
        <v>-9.57063710218055E-2</v>
      </c>
      <c r="E55" s="52">
        <v>-2.1627179020153101E-2</v>
      </c>
      <c r="F55" s="191">
        <v>-7.7039765313415401E-2</v>
      </c>
      <c r="G55" s="58">
        <v>-4.7714101255359298E-2</v>
      </c>
      <c r="H55" s="192">
        <v>-4.2591690504115397E-2</v>
      </c>
      <c r="I55" s="12">
        <f t="shared" si="0"/>
        <v>-4.3205692468106481E-2</v>
      </c>
      <c r="J55" s="25">
        <f t="shared" si="1"/>
        <v>1.3179966880639078</v>
      </c>
      <c r="K55" s="26">
        <f t="shared" si="2"/>
        <v>-0.57098441127873256</v>
      </c>
      <c r="L55" s="27">
        <f t="shared" si="3"/>
        <v>0.7575289957002902</v>
      </c>
      <c r="M55" s="28">
        <f t="shared" si="4"/>
        <v>-4.9607739695673531E-2</v>
      </c>
      <c r="N55" s="29">
        <f t="shared" si="5"/>
        <v>0.71561182890002795</v>
      </c>
      <c r="O55" s="30">
        <f t="shared" si="6"/>
        <v>0.92380787480507809</v>
      </c>
      <c r="P55" s="31">
        <f t="shared" si="7"/>
        <v>0.51572553941581634</v>
      </c>
      <c r="Q55" s="20">
        <v>9.2990015427751496E-2</v>
      </c>
      <c r="R55" s="20">
        <v>0.28333468162354097</v>
      </c>
      <c r="S55" s="20">
        <v>0.22358104345972099</v>
      </c>
      <c r="T55" s="20">
        <v>0.48014897551147301</v>
      </c>
      <c r="U55" s="20">
        <v>0.236350190860357</v>
      </c>
      <c r="V55" s="20">
        <v>0.17696067335291699</v>
      </c>
    </row>
    <row r="56" spans="1:22" ht="15.75" customHeight="1" x14ac:dyDescent="0.3">
      <c r="A56" s="21" t="s">
        <v>83</v>
      </c>
      <c r="B56" s="21" t="s">
        <v>80</v>
      </c>
      <c r="C56" s="177">
        <v>-1.7754872956797401E-3</v>
      </c>
      <c r="D56" s="28">
        <v>-9.5978527702795496E-2</v>
      </c>
      <c r="E56" s="124">
        <v>-5.5231414964688898E-2</v>
      </c>
      <c r="F56" s="73">
        <v>-8.3643551581441405E-2</v>
      </c>
      <c r="G56" s="193">
        <v>-4.4372405345712199E-2</v>
      </c>
      <c r="H56" s="177">
        <v>-4.5041391341442201E-2</v>
      </c>
      <c r="I56" s="12">
        <f t="shared" si="0"/>
        <v>-5.4340463038626656E-2</v>
      </c>
      <c r="J56" s="25">
        <f t="shared" si="1"/>
        <v>0.87665958732057059</v>
      </c>
      <c r="K56" s="26">
        <f t="shared" si="2"/>
        <v>-0.5776691832870563</v>
      </c>
      <c r="L56" s="27">
        <f t="shared" si="3"/>
        <v>0.14031428150296915</v>
      </c>
      <c r="M56" s="28">
        <f t="shared" si="4"/>
        <v>-0.2374775048352305</v>
      </c>
      <c r="N56" s="29">
        <f t="shared" si="5"/>
        <v>0.80548815393402762</v>
      </c>
      <c r="O56" s="30">
        <f t="shared" si="6"/>
        <v>0.85444600553137395</v>
      </c>
      <c r="P56" s="31">
        <f t="shared" si="7"/>
        <v>0.31029355669444242</v>
      </c>
      <c r="Q56" s="20">
        <v>0.18951139128775299</v>
      </c>
      <c r="R56" s="20">
        <v>0.28106808008717998</v>
      </c>
      <c r="S56" s="20">
        <v>0.44401371835041498</v>
      </c>
      <c r="T56" s="20">
        <v>0.40582395749608302</v>
      </c>
      <c r="U56" s="20">
        <v>0.20946466373179701</v>
      </c>
      <c r="V56" s="20">
        <v>0.19560980292774099</v>
      </c>
    </row>
    <row r="57" spans="1:22" ht="15.75" customHeight="1" x14ac:dyDescent="0.3">
      <c r="A57" s="21" t="s">
        <v>84</v>
      </c>
      <c r="B57" s="21" t="s">
        <v>80</v>
      </c>
      <c r="C57" s="118">
        <v>-1.2872282893677701E-3</v>
      </c>
      <c r="D57" s="174">
        <v>-9.8223820320963703E-2</v>
      </c>
      <c r="E57" s="162">
        <v>-5.1807587151471997E-2</v>
      </c>
      <c r="F57" s="63">
        <v>-8.61163349857684E-2</v>
      </c>
      <c r="G57" s="194">
        <v>-5.2726645119830003E-2</v>
      </c>
      <c r="H57" s="34">
        <v>-5.1662204415298098E-2</v>
      </c>
      <c r="I57" s="12">
        <f t="shared" si="0"/>
        <v>-5.6970636713783329E-2</v>
      </c>
      <c r="J57" s="25">
        <f t="shared" si="1"/>
        <v>0.88457594787202143</v>
      </c>
      <c r="K57" s="26">
        <f t="shared" si="2"/>
        <v>-0.63281855235574491</v>
      </c>
      <c r="L57" s="27">
        <f t="shared" si="3"/>
        <v>0.20320030898722533</v>
      </c>
      <c r="M57" s="28">
        <f t="shared" si="4"/>
        <v>-0.30782521424872317</v>
      </c>
      <c r="N57" s="29">
        <f t="shared" si="5"/>
        <v>0.58079734134902683</v>
      </c>
      <c r="O57" s="30">
        <f t="shared" si="6"/>
        <v>0.66698149398083151</v>
      </c>
      <c r="P57" s="31">
        <f t="shared" si="7"/>
        <v>0.23248522093077284</v>
      </c>
      <c r="Q57" s="20">
        <v>0.18736665587478499</v>
      </c>
      <c r="R57" s="20">
        <v>0.26271028210085401</v>
      </c>
      <c r="S57" s="20">
        <v>0.41921400760607103</v>
      </c>
      <c r="T57" s="20">
        <v>0.37870176419607399</v>
      </c>
      <c r="U57" s="20">
        <v>0.28001043458450398</v>
      </c>
      <c r="V57" s="20">
        <v>0.251654169598309</v>
      </c>
    </row>
    <row r="58" spans="1:22" ht="15.75" customHeight="1" x14ac:dyDescent="0.3">
      <c r="A58" s="21" t="s">
        <v>85</v>
      </c>
      <c r="B58" s="21" t="s">
        <v>80</v>
      </c>
      <c r="C58" s="124">
        <v>-9.7474252532815997E-2</v>
      </c>
      <c r="D58" s="195">
        <v>-6.9613349231882005E-2</v>
      </c>
      <c r="E58" s="82">
        <v>-5.3582905276843701E-2</v>
      </c>
      <c r="F58" s="196">
        <v>-8.1345317593890604E-2</v>
      </c>
      <c r="G58" s="25">
        <v>-7.0785726764881401E-2</v>
      </c>
      <c r="H58" s="60">
        <v>-9.3174702388375094E-2</v>
      </c>
      <c r="I58" s="12">
        <f t="shared" si="0"/>
        <v>-7.766270896478146E-2</v>
      </c>
      <c r="J58" s="25">
        <f t="shared" si="1"/>
        <v>-0.67494708076362742</v>
      </c>
      <c r="K58" s="26">
        <f t="shared" si="2"/>
        <v>6.9918105019489515E-2</v>
      </c>
      <c r="L58" s="27">
        <f t="shared" si="3"/>
        <v>0.17059273918057438</v>
      </c>
      <c r="M58" s="28">
        <f t="shared" si="4"/>
        <v>-0.17209551608622448</v>
      </c>
      <c r="N58" s="29">
        <f t="shared" si="5"/>
        <v>9.5090701477781134E-2</v>
      </c>
      <c r="O58" s="30">
        <f t="shared" si="6"/>
        <v>-0.50842099344108449</v>
      </c>
      <c r="P58" s="31">
        <f t="shared" si="7"/>
        <v>-0.16997700743551522</v>
      </c>
      <c r="Q58" s="20">
        <v>0.249112068010194</v>
      </c>
      <c r="R58" s="20">
        <v>0.472032974056593</v>
      </c>
      <c r="S58" s="20">
        <v>0.432039524207321</v>
      </c>
      <c r="T58" s="20">
        <v>0.43144675199537502</v>
      </c>
      <c r="U58" s="20">
        <v>0.46199049379294399</v>
      </c>
      <c r="V58" s="20">
        <v>0.30496152894797501</v>
      </c>
    </row>
    <row r="59" spans="1:22" ht="15.75" customHeight="1" x14ac:dyDescent="0.3">
      <c r="A59" s="21" t="s">
        <v>86</v>
      </c>
      <c r="B59" s="21" t="s">
        <v>80</v>
      </c>
      <c r="C59" s="177">
        <v>-6.9806242175140601E-2</v>
      </c>
      <c r="D59" s="122">
        <v>-5.3283948372477401E-2</v>
      </c>
      <c r="E59" s="92">
        <v>-2.8517104125762301E-2</v>
      </c>
      <c r="F59" s="134">
        <v>-7.3548776977894997E-2</v>
      </c>
      <c r="G59" s="152">
        <v>-6.4478275735422405E-2</v>
      </c>
      <c r="H59" s="162">
        <v>-8.2846233993159796E-2</v>
      </c>
      <c r="I59" s="12">
        <f t="shared" si="0"/>
        <v>-6.2080096896642921E-2</v>
      </c>
      <c r="J59" s="25">
        <f t="shared" si="1"/>
        <v>-0.22635331618146218</v>
      </c>
      <c r="K59" s="26">
        <f t="shared" si="2"/>
        <v>0.47100442551903049</v>
      </c>
      <c r="L59" s="27">
        <f t="shared" si="3"/>
        <v>0.63098057002209773</v>
      </c>
      <c r="M59" s="28">
        <f t="shared" si="4"/>
        <v>4.9706673593961498E-2</v>
      </c>
      <c r="N59" s="29">
        <f t="shared" si="5"/>
        <v>0.26473226497945823</v>
      </c>
      <c r="O59" s="30">
        <f t="shared" si="6"/>
        <v>-0.21597635542223545</v>
      </c>
      <c r="P59" s="31">
        <f t="shared" si="7"/>
        <v>0.16234904375180839</v>
      </c>
      <c r="Q59" s="20">
        <v>0.41015825498465402</v>
      </c>
      <c r="R59" s="20">
        <v>0.31823608018708099</v>
      </c>
      <c r="S59" s="20">
        <v>0.26331207316695199</v>
      </c>
      <c r="T59" s="20">
        <v>0.48010941892799702</v>
      </c>
      <c r="U59" s="20">
        <v>0.39525443182800402</v>
      </c>
      <c r="V59" s="20">
        <v>0.41421134131507498</v>
      </c>
    </row>
    <row r="60" spans="1:22" ht="15.75" customHeight="1" x14ac:dyDescent="0.3">
      <c r="A60" s="21" t="s">
        <v>87</v>
      </c>
      <c r="B60" s="21" t="s">
        <v>80</v>
      </c>
      <c r="C60" s="197">
        <v>-8.4047129859238207E-2</v>
      </c>
      <c r="D60" s="23">
        <v>-7.0747335402673903E-2</v>
      </c>
      <c r="E60" s="58">
        <v>-4.4452697774932097E-2</v>
      </c>
      <c r="F60" s="198">
        <v>-7.9570731856667701E-2</v>
      </c>
      <c r="G60" s="199">
        <v>-7.5589414634999103E-2</v>
      </c>
      <c r="H60" s="146">
        <v>-9.4498865003146304E-2</v>
      </c>
      <c r="I60" s="12">
        <f t="shared" si="0"/>
        <v>-7.4817695755276206E-2</v>
      </c>
      <c r="J60" s="25">
        <f t="shared" si="1"/>
        <v>-0.45724716559875267</v>
      </c>
      <c r="K60" s="26">
        <f t="shared" si="2"/>
        <v>4.206488831813468E-2</v>
      </c>
      <c r="L60" s="27">
        <f t="shared" si="3"/>
        <v>0.33828881247192183</v>
      </c>
      <c r="M60" s="28">
        <f t="shared" si="4"/>
        <v>-0.12161068933065913</v>
      </c>
      <c r="N60" s="29">
        <f t="shared" si="5"/>
        <v>-3.4106515758593393E-2</v>
      </c>
      <c r="O60" s="30">
        <f t="shared" si="6"/>
        <v>-0.54591389575119387</v>
      </c>
      <c r="P60" s="31">
        <f t="shared" si="7"/>
        <v>-0.1297540942748571</v>
      </c>
      <c r="Q60" s="20">
        <v>0.32317737700707999</v>
      </c>
      <c r="R60" s="20">
        <v>0.48316536868627002</v>
      </c>
      <c r="S60" s="20">
        <v>0.367131087626278</v>
      </c>
      <c r="T60" s="20">
        <v>0.45143675129095001</v>
      </c>
      <c r="U60" s="20">
        <v>0.48634897070019401</v>
      </c>
      <c r="V60" s="20">
        <v>0.29191250743659902</v>
      </c>
    </row>
    <row r="61" spans="1:22" ht="15.75" customHeight="1" x14ac:dyDescent="0.3">
      <c r="A61" s="21" t="s">
        <v>88</v>
      </c>
      <c r="B61" s="21" t="s">
        <v>80</v>
      </c>
      <c r="C61" s="200">
        <v>2.1416815504136402E-2</v>
      </c>
      <c r="D61" s="201">
        <v>-1.8924167397480401E-2</v>
      </c>
      <c r="E61" s="202">
        <v>2.1741306613927001E-2</v>
      </c>
      <c r="F61" s="203">
        <v>-5.25446638258475E-2</v>
      </c>
      <c r="G61" s="204">
        <v>-5.1055797165006397E-2</v>
      </c>
      <c r="H61" s="198">
        <v>-3.5375004253612397E-2</v>
      </c>
      <c r="I61" s="12">
        <f t="shared" si="0"/>
        <v>-1.912358508731388E-2</v>
      </c>
      <c r="J61" s="25">
        <f t="shared" si="1"/>
        <v>1.2526867135144444</v>
      </c>
      <c r="K61" s="26">
        <f t="shared" si="2"/>
        <v>1.3149568915701433</v>
      </c>
      <c r="L61" s="27">
        <f t="shared" si="3"/>
        <v>1.5540853438341902</v>
      </c>
      <c r="M61" s="28">
        <f t="shared" si="4"/>
        <v>0.64724839355325803</v>
      </c>
      <c r="N61" s="29">
        <f t="shared" si="5"/>
        <v>0.62573550386602816</v>
      </c>
      <c r="O61" s="30">
        <f t="shared" si="6"/>
        <v>1.1281441923951714</v>
      </c>
      <c r="P61" s="31">
        <f t="shared" si="7"/>
        <v>1.0871428397888725</v>
      </c>
      <c r="Q61" s="20">
        <v>0.104371604476257</v>
      </c>
      <c r="R61" s="20">
        <v>9.3498530324406998E-2</v>
      </c>
      <c r="S61" s="20">
        <v>5.9442337071456602E-2</v>
      </c>
      <c r="T61" s="20">
        <v>0.258010241584815</v>
      </c>
      <c r="U61" s="20">
        <v>0.26503327189974002</v>
      </c>
      <c r="V61" s="20">
        <v>0.12880574377944401</v>
      </c>
    </row>
    <row r="62" spans="1:22" ht="15.75" customHeight="1" x14ac:dyDescent="0.3">
      <c r="A62" s="21" t="s">
        <v>89</v>
      </c>
      <c r="B62" s="21" t="s">
        <v>80</v>
      </c>
      <c r="C62" s="94">
        <v>-5.6460496002614699E-2</v>
      </c>
      <c r="D62" s="123">
        <v>-6.4328973675991302E-2</v>
      </c>
      <c r="E62" s="132">
        <v>-3.0207883292783001E-2</v>
      </c>
      <c r="F62" s="200">
        <v>-8.86473015290207E-2</v>
      </c>
      <c r="G62" s="91">
        <v>-7.5965355424834402E-2</v>
      </c>
      <c r="H62" s="125">
        <v>-7.4857119550706896E-2</v>
      </c>
      <c r="I62" s="12">
        <f t="shared" si="0"/>
        <v>-6.5077854912658509E-2</v>
      </c>
      <c r="J62" s="25">
        <f t="shared" si="1"/>
        <v>-9.9727944418275469E-3</v>
      </c>
      <c r="K62" s="26">
        <f t="shared" si="2"/>
        <v>0.19971409484781433</v>
      </c>
      <c r="L62" s="27">
        <f t="shared" si="3"/>
        <v>0.59992574163481061</v>
      </c>
      <c r="M62" s="28">
        <f t="shared" si="4"/>
        <v>-0.37982816388370877</v>
      </c>
      <c r="N62" s="29">
        <f t="shared" si="5"/>
        <v>-4.4217602324918386E-2</v>
      </c>
      <c r="O62" s="30">
        <f t="shared" si="6"/>
        <v>1.0230821848755749E-2</v>
      </c>
      <c r="P62" s="31">
        <f t="shared" si="7"/>
        <v>6.2642016280154325E-2</v>
      </c>
      <c r="Q62" s="20">
        <v>0.49600770670336403</v>
      </c>
      <c r="R62" s="20">
        <v>0.42058139806711597</v>
      </c>
      <c r="S62" s="20">
        <v>0.27358533362785298</v>
      </c>
      <c r="T62" s="20">
        <v>0.35154792911175903</v>
      </c>
      <c r="U62" s="20">
        <v>0.482304390557456</v>
      </c>
      <c r="V62" s="20">
        <v>0.495904417163054</v>
      </c>
    </row>
    <row r="63" spans="1:22" ht="15.75" customHeight="1" x14ac:dyDescent="0.3">
      <c r="A63" s="21" t="s">
        <v>90</v>
      </c>
      <c r="B63" s="21" t="s">
        <v>80</v>
      </c>
      <c r="C63" s="180">
        <v>4.4498150347972599E-3</v>
      </c>
      <c r="D63" s="180">
        <v>-9.7543428618488498E-2</v>
      </c>
      <c r="E63" s="128">
        <v>-6.5883323716919101E-2</v>
      </c>
      <c r="F63" s="42">
        <v>-8.4865397498873604E-2</v>
      </c>
      <c r="G63" s="202">
        <v>-4.7338160465523998E-2</v>
      </c>
      <c r="H63" s="167">
        <v>-4.0605446581958603E-2</v>
      </c>
      <c r="I63" s="12">
        <f t="shared" si="0"/>
        <v>-5.529765697449443E-2</v>
      </c>
      <c r="J63" s="25">
        <f t="shared" si="1"/>
        <v>0.97759318435155829</v>
      </c>
      <c r="K63" s="26">
        <f t="shared" si="2"/>
        <v>-0.61610662233493041</v>
      </c>
      <c r="L63" s="27">
        <f t="shared" si="3"/>
        <v>-5.5331137336936162E-2</v>
      </c>
      <c r="M63" s="28">
        <f t="shared" si="4"/>
        <v>-0.27223754948660439</v>
      </c>
      <c r="N63" s="29">
        <f t="shared" si="5"/>
        <v>0.72572291546635292</v>
      </c>
      <c r="O63" s="30">
        <f t="shared" si="6"/>
        <v>0.9800472282702416</v>
      </c>
      <c r="P63" s="31">
        <f t="shared" si="7"/>
        <v>0.28994800315494701</v>
      </c>
      <c r="Q63" s="20">
        <v>0.16330087501113599</v>
      </c>
      <c r="R63" s="20">
        <v>0.26820785465834601</v>
      </c>
      <c r="S63" s="20">
        <v>0.47786093252810902</v>
      </c>
      <c r="T63" s="20">
        <v>0.39235697178807799</v>
      </c>
      <c r="U63" s="20">
        <v>0.23323382331689699</v>
      </c>
      <c r="V63" s="20">
        <v>0.162694412445123</v>
      </c>
    </row>
    <row r="64" spans="1:22" ht="15.75" customHeight="1" x14ac:dyDescent="0.3">
      <c r="A64" s="21" t="s">
        <v>91</v>
      </c>
      <c r="B64" s="21" t="s">
        <v>80</v>
      </c>
      <c r="C64" s="110">
        <v>1.6045966434705301E-2</v>
      </c>
      <c r="D64" s="163">
        <v>-9.5672351436681694E-2</v>
      </c>
      <c r="E64" s="161">
        <v>-6.2966729653808395E-2</v>
      </c>
      <c r="F64" s="102">
        <v>-8.5359954179739003E-2</v>
      </c>
      <c r="G64" s="194">
        <v>-3.8315581509476698E-2</v>
      </c>
      <c r="H64" s="155">
        <v>-4.8682838532062997E-2</v>
      </c>
      <c r="I64" s="12">
        <f t="shared" si="0"/>
        <v>-5.2491914812843911E-2</v>
      </c>
      <c r="J64" s="25">
        <f t="shared" si="1"/>
        <v>1.1656067474484946</v>
      </c>
      <c r="K64" s="26">
        <f t="shared" si="2"/>
        <v>-0.57014881477769064</v>
      </c>
      <c r="L64" s="27">
        <f t="shared" si="3"/>
        <v>-1.7615583688658462E-3</v>
      </c>
      <c r="M64" s="28">
        <f t="shared" si="4"/>
        <v>-0.28630709136930294</v>
      </c>
      <c r="N64" s="29">
        <f t="shared" si="5"/>
        <v>0.96838899305815573</v>
      </c>
      <c r="O64" s="30">
        <f t="shared" si="6"/>
        <v>0.75134052417857411</v>
      </c>
      <c r="P64" s="31">
        <f t="shared" si="7"/>
        <v>0.33785313336156086</v>
      </c>
      <c r="Q64" s="20">
        <v>0.121071529296974</v>
      </c>
      <c r="R64" s="20">
        <v>0.28361862192556597</v>
      </c>
      <c r="S64" s="20">
        <v>0.49929480433693801</v>
      </c>
      <c r="T64" s="20">
        <v>0.38694150530967403</v>
      </c>
      <c r="U64" s="20">
        <v>0.16558855329914701</v>
      </c>
      <c r="V64" s="20">
        <v>0.22544117449998</v>
      </c>
    </row>
    <row r="65" spans="1:22" ht="15.75" customHeight="1" x14ac:dyDescent="0.3">
      <c r="A65" s="21" t="s">
        <v>92</v>
      </c>
      <c r="B65" s="21" t="s">
        <v>80</v>
      </c>
      <c r="C65" s="123">
        <v>2.3736045784118E-2</v>
      </c>
      <c r="D65" s="25">
        <v>-9.8870192438315102E-2</v>
      </c>
      <c r="E65" s="79">
        <v>-5.9669710278118099E-2</v>
      </c>
      <c r="F65" s="56">
        <v>-8.3905375706605501E-2</v>
      </c>
      <c r="G65" s="29">
        <v>-4.7254618067782798E-2</v>
      </c>
      <c r="H65" s="38">
        <v>-3.62357099532137E-2</v>
      </c>
      <c r="I65" s="12">
        <f t="shared" si="0"/>
        <v>-5.0366593443319528E-2</v>
      </c>
      <c r="J65" s="25">
        <f t="shared" si="1"/>
        <v>1.2902894261338316</v>
      </c>
      <c r="K65" s="26">
        <f t="shared" si="2"/>
        <v>-0.6486948858755176</v>
      </c>
      <c r="L65" s="27">
        <f t="shared" si="3"/>
        <v>5.8795356986342855E-2</v>
      </c>
      <c r="M65" s="28">
        <f t="shared" si="4"/>
        <v>-0.24492608583195496</v>
      </c>
      <c r="N65" s="29">
        <f t="shared" si="5"/>
        <v>0.72796982359220352</v>
      </c>
      <c r="O65" s="30">
        <f t="shared" si="6"/>
        <v>1.1037738058936</v>
      </c>
      <c r="P65" s="31">
        <f t="shared" si="7"/>
        <v>0.38120124014975093</v>
      </c>
      <c r="Q65" s="20">
        <v>9.77011987230339E-2</v>
      </c>
      <c r="R65" s="20">
        <v>0.257541511561796</v>
      </c>
      <c r="S65" s="20">
        <v>0.47647639084403798</v>
      </c>
      <c r="T65" s="20">
        <v>0.40292818509752498</v>
      </c>
      <c r="U65" s="20">
        <v>0.23254440739031401</v>
      </c>
      <c r="V65" s="20">
        <v>0.13401736154052499</v>
      </c>
    </row>
    <row r="66" spans="1:22" ht="15.75" customHeight="1" x14ac:dyDescent="0.3">
      <c r="A66" s="21" t="s">
        <v>93</v>
      </c>
      <c r="B66" s="21" t="s">
        <v>80</v>
      </c>
      <c r="C66" s="79">
        <v>2.3613981032540102E-2</v>
      </c>
      <c r="D66" s="205">
        <v>-8.5500495484677599E-2</v>
      </c>
      <c r="E66" s="33">
        <v>-1.39552685497968E-2</v>
      </c>
      <c r="F66" s="25">
        <v>-5.6210201578143902E-2</v>
      </c>
      <c r="G66" s="206">
        <v>-0.103144482156631</v>
      </c>
      <c r="H66" s="150">
        <v>-2.3987205766580099E-2</v>
      </c>
      <c r="I66" s="12">
        <f t="shared" si="0"/>
        <v>-4.3197278750548213E-2</v>
      </c>
      <c r="J66" s="25">
        <f t="shared" si="1"/>
        <v>1.2883103359959702</v>
      </c>
      <c r="K66" s="26">
        <f t="shared" si="2"/>
        <v>-0.32030546096651891</v>
      </c>
      <c r="L66" s="27">
        <f t="shared" si="3"/>
        <v>0.8984402795076033</v>
      </c>
      <c r="M66" s="28">
        <f t="shared" si="4"/>
        <v>0.54296825959914186</v>
      </c>
      <c r="N66" s="29">
        <f t="shared" si="5"/>
        <v>-0.77521171260145461</v>
      </c>
      <c r="O66" s="30">
        <f t="shared" si="6"/>
        <v>1.4505831522621089</v>
      </c>
      <c r="P66" s="31">
        <f t="shared" si="7"/>
        <v>0.51413080896614172</v>
      </c>
      <c r="Q66" s="20">
        <v>9.8044289594763204E-2</v>
      </c>
      <c r="R66" s="20">
        <v>0.37394769023572599</v>
      </c>
      <c r="S66" s="20">
        <v>0.18364679407881199</v>
      </c>
      <c r="T66" s="20">
        <v>0.292928238864338</v>
      </c>
      <c r="U66" s="20">
        <v>0.21831434879967901</v>
      </c>
      <c r="V66" s="20">
        <v>7.27500671149654E-2</v>
      </c>
    </row>
    <row r="67" spans="1:22" ht="15.75" customHeight="1" x14ac:dyDescent="0.3">
      <c r="A67" s="21" t="s">
        <v>94</v>
      </c>
      <c r="B67" s="21" t="s">
        <v>80</v>
      </c>
      <c r="C67" s="175">
        <v>1.7999002459952999E-2</v>
      </c>
      <c r="D67" s="207">
        <v>-9.8461957416830004E-2</v>
      </c>
      <c r="E67" s="208">
        <v>-1.6047607768984899E-2</v>
      </c>
      <c r="F67" s="209">
        <v>-8.0792577774099802E-2</v>
      </c>
      <c r="G67" s="93">
        <v>-0.113545510675407</v>
      </c>
      <c r="H67" s="104">
        <v>-5.9077515058016797E-2</v>
      </c>
      <c r="I67" s="12">
        <f t="shared" si="0"/>
        <v>-5.832102770556425E-2</v>
      </c>
      <c r="J67" s="25">
        <f t="shared" si="1"/>
        <v>1.197272189654295</v>
      </c>
      <c r="K67" s="26">
        <f t="shared" si="2"/>
        <v>-0.6386677278630295</v>
      </c>
      <c r="L67" s="27">
        <f t="shared" si="3"/>
        <v>0.86000992937833587</v>
      </c>
      <c r="M67" s="28">
        <f t="shared" si="4"/>
        <v>-0.15637073398203027</v>
      </c>
      <c r="N67" s="29">
        <f t="shared" si="5"/>
        <v>-1.0549517742697629</v>
      </c>
      <c r="O67" s="30">
        <f t="shared" si="6"/>
        <v>0.45702124104422126</v>
      </c>
      <c r="P67" s="31">
        <f t="shared" si="7"/>
        <v>0.1107188539936716</v>
      </c>
      <c r="Q67" s="20">
        <v>0.114793735917567</v>
      </c>
      <c r="R67" s="20">
        <v>0.260799842231771</v>
      </c>
      <c r="S67" s="20">
        <v>0.19407123276938501</v>
      </c>
      <c r="T67" s="20">
        <v>0.43765680621666198</v>
      </c>
      <c r="U67" s="20">
        <v>0.14488906534509299</v>
      </c>
      <c r="V67" s="20">
        <v>0.32325878808568198</v>
      </c>
    </row>
    <row r="68" spans="1:22" ht="15.75" customHeight="1" x14ac:dyDescent="0.3">
      <c r="A68" s="21" t="s">
        <v>95</v>
      </c>
      <c r="B68" s="21" t="s">
        <v>96</v>
      </c>
      <c r="C68" s="128">
        <v>7.6234985758247198E-3</v>
      </c>
      <c r="D68" s="185">
        <v>-0.112409987317571</v>
      </c>
      <c r="E68" s="210">
        <v>-8.4904589345901602E-2</v>
      </c>
      <c r="F68" s="211">
        <v>-0.114276974225632</v>
      </c>
      <c r="G68" s="212">
        <v>-6.4088411212630203E-2</v>
      </c>
      <c r="H68" s="63">
        <v>-9.3439534911329405E-2</v>
      </c>
      <c r="I68" s="12">
        <f t="shared" si="0"/>
        <v>-7.6915999739539914E-2</v>
      </c>
      <c r="J68" s="25">
        <f t="shared" si="1"/>
        <v>1.0290495279359828</v>
      </c>
      <c r="K68" s="26">
        <f t="shared" si="2"/>
        <v>-0.98126229328971004</v>
      </c>
      <c r="L68" s="27">
        <f t="shared" si="3"/>
        <v>-0.40469795669390984</v>
      </c>
      <c r="M68" s="28">
        <f t="shared" si="4"/>
        <v>-1.108961481451751</v>
      </c>
      <c r="N68" s="29">
        <f t="shared" si="5"/>
        <v>0.27521783623342599</v>
      </c>
      <c r="O68" s="30">
        <f t="shared" si="6"/>
        <v>-0.51591957390310839</v>
      </c>
      <c r="P68" s="31">
        <f t="shared" si="7"/>
        <v>-0.28442899019484508</v>
      </c>
      <c r="Q68" s="20">
        <v>0.15089171699392201</v>
      </c>
      <c r="R68" s="20">
        <v>0.16239467902053401</v>
      </c>
      <c r="S68" s="20">
        <v>0.34233429588415498</v>
      </c>
      <c r="T68" s="20">
        <v>0.13289601209128399</v>
      </c>
      <c r="U68" s="20">
        <v>0.39120805764174399</v>
      </c>
      <c r="V68" s="20">
        <v>0.30233105600667998</v>
      </c>
    </row>
    <row r="69" spans="1:22" ht="15.75" customHeight="1" x14ac:dyDescent="0.3">
      <c r="A69" s="21" t="s">
        <v>97</v>
      </c>
      <c r="B69" s="21" t="s">
        <v>98</v>
      </c>
      <c r="C69" s="200">
        <v>-3.1437221929128803E-2</v>
      </c>
      <c r="D69" s="179">
        <v>2.50817123048807E-3</v>
      </c>
      <c r="E69" s="213">
        <v>2.6686835677462401E-2</v>
      </c>
      <c r="F69" s="128">
        <v>-3.4740623314693603E-2</v>
      </c>
      <c r="G69" s="214">
        <v>-6.6636454343736204E-2</v>
      </c>
      <c r="H69" s="197">
        <v>-4.9808376754618501E-2</v>
      </c>
      <c r="I69" s="12">
        <f t="shared" si="0"/>
        <v>-2.5571278239037775E-2</v>
      </c>
      <c r="J69" s="25">
        <f t="shared" si="1"/>
        <v>0.39574068381998462</v>
      </c>
      <c r="K69" s="26">
        <f t="shared" si="2"/>
        <v>1.8413826872257892</v>
      </c>
      <c r="L69" s="27">
        <f t="shared" si="3"/>
        <v>1.6449207168670021</v>
      </c>
      <c r="M69" s="28">
        <f t="shared" si="4"/>
        <v>1.1537519013303921</v>
      </c>
      <c r="N69" s="29">
        <f t="shared" si="5"/>
        <v>0.2066871383949988</v>
      </c>
      <c r="O69" s="30">
        <f t="shared" si="6"/>
        <v>0.7194715572149819</v>
      </c>
      <c r="P69" s="31">
        <f t="shared" si="7"/>
        <v>0.99365911414219166</v>
      </c>
      <c r="Q69" s="20">
        <v>0.34564228590908302</v>
      </c>
      <c r="R69" s="70">
        <v>3.2318150277967701E-2</v>
      </c>
      <c r="S69" s="70">
        <v>4.9407854538335703E-2</v>
      </c>
      <c r="T69" s="20">
        <v>0.12348282155075201</v>
      </c>
      <c r="U69" s="20">
        <v>0.41784735111580701</v>
      </c>
      <c r="V69" s="20">
        <v>0.23515787512358399</v>
      </c>
    </row>
    <row r="70" spans="1:22" ht="15.75" customHeight="1" x14ac:dyDescent="0.3">
      <c r="A70" s="21" t="s">
        <v>99</v>
      </c>
      <c r="B70" s="21" t="s">
        <v>98</v>
      </c>
      <c r="C70" s="202">
        <v>-2.9850380158615099E-2</v>
      </c>
      <c r="D70" s="166">
        <v>-1.56582872255994E-2</v>
      </c>
      <c r="E70" s="215">
        <v>1.95221589572123E-2</v>
      </c>
      <c r="F70" s="155">
        <v>-3.8638893622691302E-2</v>
      </c>
      <c r="G70" s="28">
        <v>-6.1874537672489002E-2</v>
      </c>
      <c r="H70" s="216">
        <v>-4.78221328324617E-2</v>
      </c>
      <c r="I70" s="12">
        <f t="shared" si="0"/>
        <v>-2.9053678759107363E-2</v>
      </c>
      <c r="J70" s="25">
        <f t="shared" si="1"/>
        <v>0.42146885561219649</v>
      </c>
      <c r="K70" s="26">
        <f t="shared" si="2"/>
        <v>1.3951741556700534</v>
      </c>
      <c r="L70" s="27">
        <f t="shared" si="3"/>
        <v>1.513325881575875</v>
      </c>
      <c r="M70" s="28">
        <f t="shared" si="4"/>
        <v>1.0428508064903022</v>
      </c>
      <c r="N70" s="29">
        <f t="shared" si="5"/>
        <v>0.33476090156845073</v>
      </c>
      <c r="O70" s="30">
        <f t="shared" si="6"/>
        <v>0.77571091068014553</v>
      </c>
      <c r="P70" s="31">
        <f t="shared" si="7"/>
        <v>0.91388191859950385</v>
      </c>
      <c r="Q70" s="20">
        <v>0.33617325554549699</v>
      </c>
      <c r="R70" s="20">
        <v>8.0755142637711302E-2</v>
      </c>
      <c r="S70" s="20">
        <v>6.4435208033840397E-2</v>
      </c>
      <c r="T70" s="20">
        <v>0.147673070810526</v>
      </c>
      <c r="U70" s="20">
        <v>0.36846512424037098</v>
      </c>
      <c r="V70" s="20">
        <v>0.21816671032563001</v>
      </c>
    </row>
    <row r="71" spans="1:22" ht="15.75" customHeight="1" x14ac:dyDescent="0.3">
      <c r="A71" s="21" t="s">
        <v>100</v>
      </c>
      <c r="B71" s="21" t="s">
        <v>98</v>
      </c>
      <c r="C71" s="25">
        <v>-1.37378329503217E-2</v>
      </c>
      <c r="D71" s="26">
        <v>-4.3297653793899697E-5</v>
      </c>
      <c r="E71" s="27">
        <v>2.34532205205354E-2</v>
      </c>
      <c r="F71" s="28">
        <v>-3.4711531745230902E-2</v>
      </c>
      <c r="G71" s="29">
        <v>-5.7321476995594797E-2</v>
      </c>
      <c r="H71" s="30">
        <v>-4.62331376947362E-2</v>
      </c>
      <c r="I71" s="12">
        <f t="shared" si="0"/>
        <v>-2.143234275319035E-2</v>
      </c>
      <c r="J71" s="25">
        <f t="shared" si="1"/>
        <v>0.68270875381004692</v>
      </c>
      <c r="K71" s="26">
        <f t="shared" si="2"/>
        <v>1.7787129496477356</v>
      </c>
      <c r="L71" s="27">
        <f t="shared" si="3"/>
        <v>1.5855283575763173</v>
      </c>
      <c r="M71" s="28">
        <f t="shared" si="4"/>
        <v>1.1545795214411401</v>
      </c>
      <c r="N71" s="29">
        <f t="shared" si="5"/>
        <v>0.45721739442727627</v>
      </c>
      <c r="O71" s="30">
        <f t="shared" si="6"/>
        <v>0.82070239345227813</v>
      </c>
      <c r="P71" s="31">
        <f t="shared" si="7"/>
        <v>1.0799082283924657</v>
      </c>
      <c r="Q71" s="20">
        <v>0.24664824417652101</v>
      </c>
      <c r="R71" s="70">
        <v>3.7140525457748999E-2</v>
      </c>
      <c r="S71" s="20">
        <v>5.5802071626277497E-2</v>
      </c>
      <c r="T71" s="20">
        <v>0.12331339807455099</v>
      </c>
      <c r="U71" s="20">
        <v>0.323188104454397</v>
      </c>
      <c r="V71" s="20">
        <v>0.20509846528343401</v>
      </c>
    </row>
    <row r="72" spans="1:22" ht="15.75" customHeight="1" x14ac:dyDescent="0.3">
      <c r="A72" s="21" t="s">
        <v>101</v>
      </c>
      <c r="B72" s="21" t="s">
        <v>98</v>
      </c>
      <c r="C72" s="217">
        <v>7.2573043210908397E-3</v>
      </c>
      <c r="D72" s="186">
        <v>-5.6905487843379602E-3</v>
      </c>
      <c r="E72" s="152">
        <v>3.16957689597612E-2</v>
      </c>
      <c r="F72" s="141">
        <v>-3.3926059369738797E-2</v>
      </c>
      <c r="G72" s="122">
        <v>-5.2768416318700599E-2</v>
      </c>
      <c r="H72" s="177">
        <v>-4.6961427132860403E-2</v>
      </c>
      <c r="I72" s="12">
        <f t="shared" si="0"/>
        <v>-1.6732229720797621E-2</v>
      </c>
      <c r="J72" s="25">
        <f t="shared" si="1"/>
        <v>1.0231122575223963</v>
      </c>
      <c r="K72" s="26">
        <f t="shared" si="2"/>
        <v>1.6400039304749785</v>
      </c>
      <c r="L72" s="27">
        <f t="shared" si="3"/>
        <v>1.73692064596434</v>
      </c>
      <c r="M72" s="28">
        <f t="shared" si="4"/>
        <v>1.1769252644313082</v>
      </c>
      <c r="N72" s="29">
        <f t="shared" si="5"/>
        <v>0.57967388728610159</v>
      </c>
      <c r="O72" s="30">
        <f t="shared" si="6"/>
        <v>0.80008129718171683</v>
      </c>
      <c r="P72" s="31">
        <f t="shared" si="7"/>
        <v>1.1594528804768072</v>
      </c>
      <c r="Q72" s="20">
        <v>0.152290628695091</v>
      </c>
      <c r="R72" s="70">
        <v>4.9913950175382499E-2</v>
      </c>
      <c r="S72" s="70">
        <v>4.0671944387189102E-2</v>
      </c>
      <c r="T72" s="20">
        <v>0.11880042009235101</v>
      </c>
      <c r="U72" s="20">
        <v>0.280390057779146</v>
      </c>
      <c r="V72" s="20">
        <v>0.21102940392116201</v>
      </c>
    </row>
    <row r="73" spans="1:22" ht="15.75" customHeight="1" x14ac:dyDescent="0.3">
      <c r="A73" s="21" t="s">
        <v>102</v>
      </c>
      <c r="B73" s="21" t="s">
        <v>98</v>
      </c>
      <c r="C73" s="218">
        <v>1.03089231105402E-2</v>
      </c>
      <c r="D73" s="120">
        <v>-2.12034796007722E-2</v>
      </c>
      <c r="E73" s="72">
        <v>2.9476621303046499E-2</v>
      </c>
      <c r="F73" s="219">
        <v>-4.1926240971972999E-2</v>
      </c>
      <c r="G73" s="220">
        <v>-4.88836948237358E-2</v>
      </c>
      <c r="H73" s="221">
        <v>-1.08779958803453E-2</v>
      </c>
      <c r="I73" s="12">
        <f t="shared" si="0"/>
        <v>-1.3850977810539932E-2</v>
      </c>
      <c r="J73" s="25">
        <f t="shared" si="1"/>
        <v>1.0725895109689565</v>
      </c>
      <c r="K73" s="26">
        <f t="shared" si="2"/>
        <v>1.258971926000418</v>
      </c>
      <c r="L73" s="27">
        <f t="shared" si="3"/>
        <v>1.6961611837060251</v>
      </c>
      <c r="M73" s="28">
        <f t="shared" si="4"/>
        <v>0.94932973397589626</v>
      </c>
      <c r="N73" s="29">
        <f t="shared" si="5"/>
        <v>0.68415511513812755</v>
      </c>
      <c r="O73" s="30">
        <f t="shared" si="6"/>
        <v>1.8217628851321865</v>
      </c>
      <c r="P73" s="31">
        <f t="shared" si="7"/>
        <v>1.2471617258202685</v>
      </c>
      <c r="Q73" s="20">
        <v>0.140894914263966</v>
      </c>
      <c r="R73" s="20">
        <v>0.103234264017861</v>
      </c>
      <c r="S73" s="70">
        <v>4.4373893567147202E-2</v>
      </c>
      <c r="T73" s="20">
        <v>0.170391240246314</v>
      </c>
      <c r="U73" s="20">
        <v>0.24619056589874999</v>
      </c>
      <c r="V73" s="70">
        <v>3.3768960105778102E-2</v>
      </c>
    </row>
    <row r="74" spans="1:22" ht="15.75" customHeight="1" x14ac:dyDescent="0.3">
      <c r="A74" s="21" t="s">
        <v>103</v>
      </c>
      <c r="B74" s="21" t="s">
        <v>98</v>
      </c>
      <c r="C74" s="37">
        <v>1.72666139504851E-2</v>
      </c>
      <c r="D74" s="113">
        <v>-1.1031623648768101E-2</v>
      </c>
      <c r="E74" s="60">
        <v>3.8036190836088599E-2</v>
      </c>
      <c r="F74" s="122">
        <v>-3.5526095690185701E-2</v>
      </c>
      <c r="G74" s="222">
        <v>-3.3303037645006001E-2</v>
      </c>
      <c r="H74" s="119">
        <v>-2.3325124459194602E-2</v>
      </c>
      <c r="I74" s="12">
        <f t="shared" si="0"/>
        <v>-7.9805127760967844E-3</v>
      </c>
      <c r="J74" s="25">
        <f t="shared" si="1"/>
        <v>1.1853976488271196</v>
      </c>
      <c r="K74" s="26">
        <f t="shared" si="2"/>
        <v>1.5088152798115899</v>
      </c>
      <c r="L74" s="27">
        <f t="shared" si="3"/>
        <v>1.8533762524166628</v>
      </c>
      <c r="M74" s="28">
        <f t="shared" si="4"/>
        <v>1.131406158340224</v>
      </c>
      <c r="N74" s="29">
        <f t="shared" si="5"/>
        <v>1.1032034806091566</v>
      </c>
      <c r="O74" s="30">
        <f t="shared" si="6"/>
        <v>1.4693296034171606</v>
      </c>
      <c r="P74" s="31">
        <f t="shared" si="7"/>
        <v>1.3752547372369854</v>
      </c>
      <c r="Q74" s="20">
        <v>0.117120208976905</v>
      </c>
      <c r="R74" s="20">
        <v>6.50071933132189E-2</v>
      </c>
      <c r="S74" s="70">
        <v>3.1456881648283898E-2</v>
      </c>
      <c r="T74" s="20">
        <v>0.12811898763719501</v>
      </c>
      <c r="U74" s="20">
        <v>0.134141036507544</v>
      </c>
      <c r="V74" s="20">
        <v>7.0183919497893002E-2</v>
      </c>
    </row>
    <row r="75" spans="1:22" ht="15.75" customHeight="1" x14ac:dyDescent="0.3">
      <c r="A75" s="21" t="s">
        <v>104</v>
      </c>
      <c r="B75" s="21" t="s">
        <v>98</v>
      </c>
      <c r="C75" s="122">
        <v>-3.9615560284853503E-2</v>
      </c>
      <c r="D75" s="111">
        <v>-1.9400441589212999E-2</v>
      </c>
      <c r="E75" s="223">
        <v>8.1093995798228492E-3</v>
      </c>
      <c r="F75" s="122">
        <v>-3.7795238108273899E-2</v>
      </c>
      <c r="G75" s="58">
        <v>-4.00282006631709E-2</v>
      </c>
      <c r="H75" s="51">
        <v>-3.2925303416285703E-2</v>
      </c>
      <c r="I75" s="12">
        <f t="shared" si="0"/>
        <v>-2.694255741366236E-2</v>
      </c>
      <c r="J75" s="25">
        <f t="shared" si="1"/>
        <v>0.26314164458319655</v>
      </c>
      <c r="K75" s="26">
        <f t="shared" si="2"/>
        <v>1.3032585405555741</v>
      </c>
      <c r="L75" s="27">
        <f t="shared" si="3"/>
        <v>1.3037057899616917</v>
      </c>
      <c r="M75" s="28">
        <f t="shared" si="4"/>
        <v>1.0668517897019631</v>
      </c>
      <c r="N75" s="29">
        <f t="shared" si="5"/>
        <v>0.92232737647822916</v>
      </c>
      <c r="O75" s="30">
        <f t="shared" si="6"/>
        <v>1.1975060616688724</v>
      </c>
      <c r="P75" s="31">
        <f t="shared" si="7"/>
        <v>1.0094652004915878</v>
      </c>
      <c r="Q75" s="20">
        <v>0.39586925072774198</v>
      </c>
      <c r="R75" s="20">
        <v>9.5474662871459101E-2</v>
      </c>
      <c r="S75" s="20">
        <v>9.5398550891432496E-2</v>
      </c>
      <c r="T75" s="20">
        <v>0.14218596915805801</v>
      </c>
      <c r="U75" s="20">
        <v>0.17734660885078701</v>
      </c>
      <c r="V75" s="20">
        <v>0.114748247984512</v>
      </c>
    </row>
    <row r="76" spans="1:22" ht="15.75" customHeight="1" x14ac:dyDescent="0.3">
      <c r="A76" s="21" t="s">
        <v>105</v>
      </c>
      <c r="B76" s="21" t="s">
        <v>98</v>
      </c>
      <c r="C76" s="122">
        <v>-2.6920826120743601E-2</v>
      </c>
      <c r="D76" s="224">
        <v>-6.0223943737724397E-2</v>
      </c>
      <c r="E76" s="57">
        <v>-1.28773968308211E-2</v>
      </c>
      <c r="F76" s="82">
        <v>-5.9526640496888203E-2</v>
      </c>
      <c r="G76" s="111">
        <v>-6.9894607855642096E-2</v>
      </c>
      <c r="H76" s="209">
        <v>-4.9477336100925702E-2</v>
      </c>
      <c r="I76" s="12">
        <f t="shared" si="0"/>
        <v>-4.6486791857124184E-2</v>
      </c>
      <c r="J76" s="25">
        <f t="shared" si="1"/>
        <v>0.46896701892089609</v>
      </c>
      <c r="K76" s="26">
        <f t="shared" si="2"/>
        <v>0.30054273930672459</v>
      </c>
      <c r="L76" s="27">
        <f t="shared" si="3"/>
        <v>0.91823773260449892</v>
      </c>
      <c r="M76" s="28">
        <f t="shared" si="4"/>
        <v>0.44861956697399097</v>
      </c>
      <c r="N76" s="29">
        <f t="shared" si="5"/>
        <v>0.11905772148684984</v>
      </c>
      <c r="O76" s="30">
        <f t="shared" si="6"/>
        <v>0.72884478279250908</v>
      </c>
      <c r="P76" s="31">
        <f t="shared" si="7"/>
        <v>0.49737826034757832</v>
      </c>
      <c r="Q76" s="20">
        <v>0.31896586104804697</v>
      </c>
      <c r="R76" s="20">
        <v>0.38148441838417901</v>
      </c>
      <c r="S76" s="20">
        <v>0.17841545403042899</v>
      </c>
      <c r="T76" s="20">
        <v>0.326292282395586</v>
      </c>
      <c r="U76" s="20">
        <v>0.45245134426582001</v>
      </c>
      <c r="V76" s="20">
        <v>0.23227625161878601</v>
      </c>
    </row>
    <row r="77" spans="1:22" ht="15.75" customHeight="1" x14ac:dyDescent="0.3">
      <c r="A77" s="21" t="s">
        <v>106</v>
      </c>
      <c r="B77" s="21" t="s">
        <v>98</v>
      </c>
      <c r="C77" s="46">
        <v>-3.0948962922816899E-2</v>
      </c>
      <c r="D77" s="225">
        <v>-4.6752188028715599E-2</v>
      </c>
      <c r="E77" s="226">
        <v>1.4323013018623799E-2</v>
      </c>
      <c r="F77" s="120">
        <v>-5.2108290283907399E-2</v>
      </c>
      <c r="G77" s="227">
        <v>-3.8733293498182601E-2</v>
      </c>
      <c r="H77" s="41">
        <v>-5.6495397959213003E-2</v>
      </c>
      <c r="I77" s="12">
        <f t="shared" si="0"/>
        <v>-3.5119186612368618E-2</v>
      </c>
      <c r="J77" s="25">
        <f t="shared" si="1"/>
        <v>0.40365704437143435</v>
      </c>
      <c r="K77" s="26">
        <f t="shared" si="2"/>
        <v>0.63143895371884584</v>
      </c>
      <c r="L77" s="27">
        <f t="shared" si="3"/>
        <v>1.4178322842849698</v>
      </c>
      <c r="M77" s="28">
        <f t="shared" si="4"/>
        <v>0.65966269521446386</v>
      </c>
      <c r="N77" s="29">
        <f t="shared" si="5"/>
        <v>0.9571544524289054</v>
      </c>
      <c r="O77" s="30">
        <f t="shared" si="6"/>
        <v>0.53013240054893263</v>
      </c>
      <c r="P77" s="31">
        <f t="shared" si="7"/>
        <v>0.76664630509459197</v>
      </c>
      <c r="Q77" s="20">
        <v>0.34271809817203702</v>
      </c>
      <c r="R77" s="20">
        <v>0.26316192358989499</v>
      </c>
      <c r="S77" s="20">
        <v>7.7404784860457501E-2</v>
      </c>
      <c r="T77" s="20">
        <v>0.25400188053259398</v>
      </c>
      <c r="U77" s="20">
        <v>0.16840881914699099</v>
      </c>
      <c r="V77" s="20">
        <v>0.29737340297432202</v>
      </c>
    </row>
    <row r="78" spans="1:22" ht="15.75" customHeight="1" x14ac:dyDescent="0.3">
      <c r="A78" s="21" t="s">
        <v>107</v>
      </c>
      <c r="B78" s="21" t="s">
        <v>108</v>
      </c>
      <c r="C78" s="73">
        <v>2.1050621249402501E-2</v>
      </c>
      <c r="D78" s="175">
        <v>-3.1103178871786201E-2</v>
      </c>
      <c r="E78" s="37">
        <v>4.6221675478427199E-3</v>
      </c>
      <c r="F78" s="134">
        <v>-1.0274613396588301E-2</v>
      </c>
      <c r="G78" s="180">
        <v>-2.1272932370276301E-2</v>
      </c>
      <c r="H78" s="141">
        <v>-4.1201319758605699E-2</v>
      </c>
      <c r="I78" s="12">
        <f t="shared" si="0"/>
        <v>-1.3029875933335213E-2</v>
      </c>
      <c r="J78" s="25">
        <f t="shared" si="1"/>
        <v>1.2467494431008574</v>
      </c>
      <c r="K78" s="26">
        <f t="shared" si="2"/>
        <v>1.0158133441975723</v>
      </c>
      <c r="L78" s="27">
        <f t="shared" si="3"/>
        <v>1.2396552064129134</v>
      </c>
      <c r="M78" s="28">
        <f t="shared" si="4"/>
        <v>1.8497804144685785</v>
      </c>
      <c r="N78" s="29">
        <f t="shared" si="5"/>
        <v>1.4267582507315595</v>
      </c>
      <c r="O78" s="30">
        <f t="shared" si="6"/>
        <v>0.96317542223069086</v>
      </c>
      <c r="P78" s="31">
        <f t="shared" si="7"/>
        <v>1.2903220135236955</v>
      </c>
      <c r="Q78" s="20">
        <v>0.105454297522484</v>
      </c>
      <c r="R78" s="20">
        <v>0.154022125730399</v>
      </c>
      <c r="S78" s="20">
        <v>0.106758593054694</v>
      </c>
      <c r="T78" s="70">
        <v>3.1713087241259701E-2</v>
      </c>
      <c r="U78" s="20">
        <v>7.6114318327282895E-2</v>
      </c>
      <c r="V78" s="20">
        <v>0.16689352364757101</v>
      </c>
    </row>
    <row r="79" spans="1:22" ht="15.75" customHeight="1" x14ac:dyDescent="0.3">
      <c r="A79" s="21" t="s">
        <v>109</v>
      </c>
      <c r="B79" s="21" t="s">
        <v>110</v>
      </c>
      <c r="C79" s="223">
        <v>-1.52026099692575E-2</v>
      </c>
      <c r="D79" s="124">
        <v>-8.1690301950816599E-2</v>
      </c>
      <c r="E79" s="115">
        <v>-8.1100336220105096E-2</v>
      </c>
      <c r="F79" s="37">
        <v>-5.8537527135157502E-2</v>
      </c>
      <c r="G79" s="228">
        <v>-2.17741867567234E-2</v>
      </c>
      <c r="H79" s="229">
        <v>-6.1063758980173598E-2</v>
      </c>
      <c r="I79" s="12">
        <f t="shared" si="0"/>
        <v>-5.3228120168705616E-2</v>
      </c>
      <c r="J79" s="25">
        <f t="shared" si="1"/>
        <v>0.65895967215569629</v>
      </c>
      <c r="K79" s="26">
        <f t="shared" si="2"/>
        <v>-0.22671865284996115</v>
      </c>
      <c r="L79" s="27">
        <f t="shared" si="3"/>
        <v>-0.33482459282251498</v>
      </c>
      <c r="M79" s="28">
        <f t="shared" si="4"/>
        <v>0.47675865073938528</v>
      </c>
      <c r="N79" s="29">
        <f t="shared" si="5"/>
        <v>1.4132768019764588</v>
      </c>
      <c r="O79" s="30">
        <f t="shared" si="6"/>
        <v>0.40078188757905764</v>
      </c>
      <c r="P79" s="31">
        <f t="shared" si="7"/>
        <v>0.39803896112968701</v>
      </c>
      <c r="Q79" s="20">
        <v>0.25422799840108601</v>
      </c>
      <c r="R79" s="20">
        <v>0.41001573196540603</v>
      </c>
      <c r="S79" s="20">
        <v>0.368441026052094</v>
      </c>
      <c r="T79" s="20">
        <v>0.316178782276611</v>
      </c>
      <c r="U79" s="20">
        <v>7.8069763095775804E-2</v>
      </c>
      <c r="V79" s="20">
        <v>0.34377906078331899</v>
      </c>
    </row>
    <row r="80" spans="1:22" ht="15.75" customHeight="1" x14ac:dyDescent="0.3">
      <c r="A80" s="21" t="s">
        <v>111</v>
      </c>
      <c r="B80" s="21" t="s">
        <v>110</v>
      </c>
      <c r="C80" s="42">
        <v>3.7651427464007799E-2</v>
      </c>
      <c r="D80" s="75">
        <v>-2.5455927741242199E-2</v>
      </c>
      <c r="E80" s="59">
        <v>-2.54314321459496E-2</v>
      </c>
      <c r="F80" s="93">
        <v>-3.8813443039467398E-2</v>
      </c>
      <c r="G80" s="93">
        <v>-4.1699048617994401E-2</v>
      </c>
      <c r="H80" s="73">
        <v>-7.9138578671800505E-2</v>
      </c>
      <c r="I80" s="12">
        <f t="shared" si="0"/>
        <v>-2.8814500458741048E-2</v>
      </c>
      <c r="J80" s="25">
        <f t="shared" si="1"/>
        <v>1.5159057018501574</v>
      </c>
      <c r="K80" s="26">
        <f t="shared" si="2"/>
        <v>1.1545223633703281</v>
      </c>
      <c r="L80" s="27">
        <f t="shared" si="3"/>
        <v>0.68765563182889533</v>
      </c>
      <c r="M80" s="28">
        <f t="shared" si="4"/>
        <v>1.0378850858258182</v>
      </c>
      <c r="N80" s="29">
        <f t="shared" si="5"/>
        <v>0.8773892139612306</v>
      </c>
      <c r="O80" s="30">
        <f t="shared" si="6"/>
        <v>-0.11099622895393202</v>
      </c>
      <c r="P80" s="31">
        <f t="shared" si="7"/>
        <v>0.8603936279804163</v>
      </c>
      <c r="Q80" s="20">
        <v>6.4109825642136201E-2</v>
      </c>
      <c r="R80" s="20">
        <v>0.12332509375896999</v>
      </c>
      <c r="S80" s="20">
        <v>0.245084769998548</v>
      </c>
      <c r="T80" s="20">
        <v>0.14882580799189399</v>
      </c>
      <c r="U80" s="20">
        <v>0.18931308792361801</v>
      </c>
      <c r="V80" s="20">
        <v>0.455657126639332</v>
      </c>
    </row>
    <row r="81" spans="1:22" ht="15.75" customHeight="1" x14ac:dyDescent="0.3">
      <c r="A81" s="21" t="s">
        <v>112</v>
      </c>
      <c r="B81" s="21" t="s">
        <v>110</v>
      </c>
      <c r="C81" s="60">
        <v>1.69004196957512E-2</v>
      </c>
      <c r="D81" s="184">
        <v>8.1214027759083495E-3</v>
      </c>
      <c r="E81" s="185">
        <v>-2.0986796410643999E-3</v>
      </c>
      <c r="F81" s="101">
        <v>-1.50165392190035E-2</v>
      </c>
      <c r="G81" s="230">
        <v>-1.02035646695702E-2</v>
      </c>
      <c r="H81" s="179">
        <v>1.76577084679739E-2</v>
      </c>
      <c r="I81" s="12">
        <f t="shared" si="0"/>
        <v>2.560124568332559E-3</v>
      </c>
      <c r="J81" s="25">
        <f t="shared" si="1"/>
        <v>1.1794603784135329</v>
      </c>
      <c r="K81" s="26">
        <f t="shared" si="2"/>
        <v>1.979256109897505</v>
      </c>
      <c r="L81" s="27">
        <f t="shared" si="3"/>
        <v>1.1162122635734497</v>
      </c>
      <c r="M81" s="28">
        <f t="shared" si="4"/>
        <v>1.714878336416825</v>
      </c>
      <c r="N81" s="29">
        <f t="shared" si="5"/>
        <v>1.7244735774066859</v>
      </c>
      <c r="O81" s="30">
        <f t="shared" si="6"/>
        <v>2.6297349299150325</v>
      </c>
      <c r="P81" s="31">
        <f t="shared" si="7"/>
        <v>1.724002599270505</v>
      </c>
      <c r="Q81" s="20">
        <v>0.118295890453552</v>
      </c>
      <c r="R81" s="70">
        <v>2.35101871835563E-2</v>
      </c>
      <c r="S81" s="20">
        <v>0.13133956034255501</v>
      </c>
      <c r="T81" s="70">
        <v>4.26415215393494E-2</v>
      </c>
      <c r="U81" s="70">
        <v>4.1774866688152397E-2</v>
      </c>
      <c r="V81" s="70">
        <v>4.1593870697059498E-3</v>
      </c>
    </row>
    <row r="82" spans="1:22" ht="15.75" customHeight="1" x14ac:dyDescent="0.3">
      <c r="A82" s="21" t="s">
        <v>113</v>
      </c>
      <c r="B82" s="21" t="s">
        <v>110</v>
      </c>
      <c r="C82" s="112">
        <v>7.6468018465805407E-2</v>
      </c>
      <c r="D82" s="30">
        <v>-5.2875713350992302E-2</v>
      </c>
      <c r="E82" s="157">
        <v>-2.28889229735425E-3</v>
      </c>
      <c r="F82" s="58">
        <v>-4.1664416846809001E-2</v>
      </c>
      <c r="G82" s="231">
        <v>-2.9543629746653002E-2</v>
      </c>
      <c r="H82" s="115">
        <v>-1.5426494462084199E-3</v>
      </c>
      <c r="I82" s="12">
        <f t="shared" si="0"/>
        <v>-8.5745472037019269E-3</v>
      </c>
      <c r="J82" s="25">
        <f t="shared" si="1"/>
        <v>2.1452563656904315</v>
      </c>
      <c r="K82" s="26">
        <f t="shared" si="2"/>
        <v>0.48103158353151859</v>
      </c>
      <c r="L82" s="27">
        <f t="shared" si="3"/>
        <v>1.1127185953798795</v>
      </c>
      <c r="M82" s="28">
        <f t="shared" si="4"/>
        <v>0.95677831497261789</v>
      </c>
      <c r="N82" s="29">
        <f t="shared" si="5"/>
        <v>1.2043143462724066</v>
      </c>
      <c r="O82" s="30">
        <f t="shared" si="6"/>
        <v>2.0860878464184531</v>
      </c>
      <c r="P82" s="31">
        <f t="shared" si="7"/>
        <v>1.331031175377551</v>
      </c>
      <c r="Q82" s="70">
        <v>1.5671435106196702E-2</v>
      </c>
      <c r="R82" s="20">
        <v>0.31465475715789598</v>
      </c>
      <c r="S82" s="20">
        <v>0.132087932301825</v>
      </c>
      <c r="T82" s="20">
        <v>0.16850377425208399</v>
      </c>
      <c r="U82" s="20">
        <v>0.113429658602218</v>
      </c>
      <c r="V82" s="70">
        <v>1.81603583238985E-2</v>
      </c>
    </row>
    <row r="83" spans="1:22" ht="15.75" customHeight="1" x14ac:dyDescent="0.3">
      <c r="A83" s="21" t="s">
        <v>114</v>
      </c>
      <c r="B83" s="21" t="s">
        <v>110</v>
      </c>
      <c r="C83" s="229">
        <v>-0.145079505648228</v>
      </c>
      <c r="D83" s="53">
        <v>-0.14333379019506801</v>
      </c>
      <c r="E83" s="79">
        <v>-0.188824103898909</v>
      </c>
      <c r="F83" s="115">
        <v>-0.122218972688941</v>
      </c>
      <c r="G83" s="111">
        <v>-0.112543001902513</v>
      </c>
      <c r="H83" s="232">
        <v>-0.12727188971873299</v>
      </c>
      <c r="I83" s="12">
        <f t="shared" si="0"/>
        <v>-0.13987854400873201</v>
      </c>
      <c r="J83" s="25">
        <f t="shared" si="1"/>
        <v>-1.4467922345299986</v>
      </c>
      <c r="K83" s="26">
        <f t="shared" si="2"/>
        <v>-1.7408195127357042</v>
      </c>
      <c r="L83" s="27">
        <f t="shared" si="3"/>
        <v>-2.3134053464475031</v>
      </c>
      <c r="M83" s="28">
        <f t="shared" si="4"/>
        <v>-1.3349017716856728</v>
      </c>
      <c r="N83" s="29">
        <f t="shared" si="5"/>
        <v>-1.0279888767595664</v>
      </c>
      <c r="O83" s="30">
        <f t="shared" si="6"/>
        <v>-1.4738632279263788</v>
      </c>
      <c r="P83" s="31">
        <f t="shared" si="7"/>
        <v>-1.5562951616808043</v>
      </c>
      <c r="Q83" s="20">
        <v>7.3277620792431802E-2</v>
      </c>
      <c r="R83" s="70">
        <v>4.0331370947901499E-2</v>
      </c>
      <c r="S83" s="70">
        <v>1.01319828691664E-2</v>
      </c>
      <c r="T83" s="20">
        <v>9.0199288020363394E-2</v>
      </c>
      <c r="U83" s="20">
        <v>0.15114099307360501</v>
      </c>
      <c r="V83" s="20">
        <v>6.9573905269940103E-2</v>
      </c>
    </row>
    <row r="84" spans="1:22" ht="15.75" customHeight="1" x14ac:dyDescent="0.3">
      <c r="A84" s="21" t="s">
        <v>115</v>
      </c>
      <c r="B84" s="21" t="s">
        <v>110</v>
      </c>
      <c r="C84" s="233">
        <v>-9.6497734520192197E-2</v>
      </c>
      <c r="D84" s="234">
        <v>-0.143299770609945</v>
      </c>
      <c r="E84" s="91">
        <v>-0.17538240952109499</v>
      </c>
      <c r="F84" s="110">
        <v>-0.11896071690912199</v>
      </c>
      <c r="G84" s="94">
        <v>-0.12085547047776</v>
      </c>
      <c r="H84" s="94">
        <v>-0.13184025073969399</v>
      </c>
      <c r="I84" s="12">
        <f t="shared" si="0"/>
        <v>-0.13113939212963469</v>
      </c>
      <c r="J84" s="25">
        <f t="shared" si="1"/>
        <v>-0.65911435966072807</v>
      </c>
      <c r="K84" s="26">
        <f t="shared" si="2"/>
        <v>-1.7399839162346822</v>
      </c>
      <c r="L84" s="27">
        <f t="shared" si="3"/>
        <v>-2.0665194607685806</v>
      </c>
      <c r="M84" s="28">
        <f t="shared" si="4"/>
        <v>-1.2422083192820146</v>
      </c>
      <c r="N84" s="29">
        <f t="shared" si="5"/>
        <v>-1.2515562352816367</v>
      </c>
      <c r="O84" s="30">
        <f t="shared" si="6"/>
        <v>-1.6032137408962654</v>
      </c>
      <c r="P84" s="31">
        <f t="shared" si="7"/>
        <v>-1.4270993386873176</v>
      </c>
      <c r="Q84" s="20">
        <v>0.25417823619961699</v>
      </c>
      <c r="R84" s="70">
        <v>4.0404166231843099E-2</v>
      </c>
      <c r="S84" s="70">
        <v>1.90544055676042E-2</v>
      </c>
      <c r="T84" s="20">
        <v>0.106287861619543</v>
      </c>
      <c r="U84" s="20">
        <v>0.104577129929131</v>
      </c>
      <c r="V84" s="20">
        <v>5.3833231352730097E-2</v>
      </c>
    </row>
    <row r="85" spans="1:22" ht="15.75" customHeight="1" x14ac:dyDescent="0.3">
      <c r="A85" s="21" t="s">
        <v>116</v>
      </c>
      <c r="B85" s="21" t="s">
        <v>110</v>
      </c>
      <c r="C85" s="177">
        <v>-0.17034690922487</v>
      </c>
      <c r="D85" s="193">
        <v>-0.12931772112407899</v>
      </c>
      <c r="E85" s="52">
        <v>-0.19801771561958401</v>
      </c>
      <c r="F85" s="101">
        <v>-0.13627020073941101</v>
      </c>
      <c r="G85" s="202">
        <v>-0.139401882776302</v>
      </c>
      <c r="H85" s="235">
        <v>-0.12098211729857</v>
      </c>
      <c r="I85" s="12">
        <f t="shared" si="0"/>
        <v>-0.14905609113046933</v>
      </c>
      <c r="J85" s="25">
        <f t="shared" si="1"/>
        <v>-1.8564638930675381</v>
      </c>
      <c r="K85" s="26">
        <f t="shared" si="2"/>
        <v>-1.3965537543069302</v>
      </c>
      <c r="L85" s="27">
        <f t="shared" si="3"/>
        <v>-2.4822659758033763</v>
      </c>
      <c r="M85" s="28">
        <f t="shared" si="4"/>
        <v>-1.7346422851764649</v>
      </c>
      <c r="N85" s="29">
        <f t="shared" si="5"/>
        <v>-1.7503698392203513</v>
      </c>
      <c r="O85" s="30">
        <f t="shared" si="6"/>
        <v>-1.2957719419533669</v>
      </c>
      <c r="P85" s="31">
        <f t="shared" si="7"/>
        <v>-1.7526779482546713</v>
      </c>
      <c r="Q85" s="70">
        <v>3.1238253136366499E-2</v>
      </c>
      <c r="R85" s="20">
        <v>8.0548066577951993E-2</v>
      </c>
      <c r="S85" s="70">
        <v>6.37153603083638E-3</v>
      </c>
      <c r="T85" s="70">
        <v>4.0872041618691402E-2</v>
      </c>
      <c r="U85" s="70">
        <v>3.9506910124543097E-2</v>
      </c>
      <c r="V85" s="20">
        <v>9.6755359656843301E-2</v>
      </c>
    </row>
    <row r="86" spans="1:22" ht="15.75" customHeight="1" x14ac:dyDescent="0.3">
      <c r="A86" s="21" t="s">
        <v>117</v>
      </c>
      <c r="B86" s="21" t="s">
        <v>110</v>
      </c>
      <c r="C86" s="140">
        <v>-4.2545114322725001E-2</v>
      </c>
      <c r="D86" s="27">
        <v>-9.3597156744132395E-2</v>
      </c>
      <c r="E86" s="178">
        <v>-4.9968864807336998E-2</v>
      </c>
      <c r="F86" s="175">
        <v>-7.7912512397295505E-2</v>
      </c>
      <c r="G86" s="200">
        <v>-5.4063323483688801E-2</v>
      </c>
      <c r="H86" s="143">
        <v>-7.9602035586970404E-2</v>
      </c>
      <c r="I86" s="12">
        <f t="shared" si="0"/>
        <v>-6.6281501223691516E-2</v>
      </c>
      <c r="J86" s="25">
        <f t="shared" si="1"/>
        <v>0.21564348127449692</v>
      </c>
      <c r="K86" s="26">
        <f t="shared" si="2"/>
        <v>-0.51917742821420831</v>
      </c>
      <c r="L86" s="27">
        <f t="shared" si="3"/>
        <v>0.23697243485839989</v>
      </c>
      <c r="M86" s="28">
        <f t="shared" si="4"/>
        <v>-7.4436343018082385E-2</v>
      </c>
      <c r="N86" s="29">
        <f t="shared" si="5"/>
        <v>0.54484681133542801</v>
      </c>
      <c r="O86" s="30">
        <f t="shared" si="6"/>
        <v>-0.1241187447624696</v>
      </c>
      <c r="P86" s="31">
        <f t="shared" si="7"/>
        <v>4.6621701912260755E-2</v>
      </c>
      <c r="Q86" s="20">
        <v>0.41434151082090998</v>
      </c>
      <c r="R86" s="20">
        <v>0.301191393841307</v>
      </c>
      <c r="S86" s="20">
        <v>0.40602050131842798</v>
      </c>
      <c r="T86" s="20">
        <v>0.47022894944169902</v>
      </c>
      <c r="U86" s="20">
        <v>0.29228027619844799</v>
      </c>
      <c r="V86" s="20">
        <v>0.45044031605431101</v>
      </c>
    </row>
    <row r="87" spans="1:22" ht="15.75" customHeight="1" x14ac:dyDescent="0.3">
      <c r="A87" s="21" t="s">
        <v>118</v>
      </c>
      <c r="B87" s="21" t="s">
        <v>110</v>
      </c>
      <c r="C87" s="165">
        <v>-0.15716391605444799</v>
      </c>
      <c r="D87" s="73">
        <v>-0.14047614504467201</v>
      </c>
      <c r="E87" s="49">
        <v>-0.15363476248529101</v>
      </c>
      <c r="F87" s="122">
        <v>-0.14159395795107901</v>
      </c>
      <c r="G87" s="104">
        <v>-0.150011767289432</v>
      </c>
      <c r="H87" s="115">
        <v>-0.13409132718480499</v>
      </c>
      <c r="I87" s="12">
        <f t="shared" si="0"/>
        <v>-0.14616197933495451</v>
      </c>
      <c r="J87" s="25">
        <f t="shared" si="1"/>
        <v>-1.6427221581783855</v>
      </c>
      <c r="K87" s="26">
        <f t="shared" si="2"/>
        <v>-1.6706294066482801</v>
      </c>
      <c r="L87" s="27">
        <f t="shared" si="3"/>
        <v>-1.6670767306370953</v>
      </c>
      <c r="M87" s="28">
        <f t="shared" si="4"/>
        <v>-1.8860967654431409</v>
      </c>
      <c r="N87" s="29">
        <f t="shared" si="5"/>
        <v>-2.0357271712033129</v>
      </c>
      <c r="O87" s="30">
        <f t="shared" si="6"/>
        <v>-1.6669516748234496</v>
      </c>
      <c r="P87" s="31">
        <f t="shared" si="7"/>
        <v>-1.7615339844889439</v>
      </c>
      <c r="Q87" s="70">
        <v>4.9633648384886903E-2</v>
      </c>
      <c r="R87" s="70">
        <v>4.6827960700055002E-2</v>
      </c>
      <c r="S87" s="70">
        <v>4.7177904784133501E-2</v>
      </c>
      <c r="T87" s="70">
        <v>2.9203254067451199E-2</v>
      </c>
      <c r="U87" s="70">
        <v>2.0536940335703201E-2</v>
      </c>
      <c r="V87" s="70">
        <v>4.71902610658613E-2</v>
      </c>
    </row>
    <row r="88" spans="1:22" ht="15.75" customHeight="1" x14ac:dyDescent="0.3">
      <c r="A88" s="21" t="s">
        <v>119</v>
      </c>
      <c r="B88" s="21" t="s">
        <v>110</v>
      </c>
      <c r="C88" s="141">
        <v>-0.14874144819556701</v>
      </c>
      <c r="D88" s="93">
        <v>-0.12907958402821301</v>
      </c>
      <c r="E88" s="197">
        <v>-0.13543775170023101</v>
      </c>
      <c r="F88" s="112">
        <v>-0.14345581839669</v>
      </c>
      <c r="G88" s="102">
        <v>-0.14424734184529001</v>
      </c>
      <c r="H88" s="191">
        <v>-0.13177404260895501</v>
      </c>
      <c r="I88" s="12">
        <f t="shared" si="0"/>
        <v>-0.13878933112915767</v>
      </c>
      <c r="J88" s="25">
        <f t="shared" si="1"/>
        <v>-1.5061649386658673</v>
      </c>
      <c r="K88" s="26">
        <f t="shared" si="2"/>
        <v>-1.3907045787996535</v>
      </c>
      <c r="L88" s="27">
        <f t="shared" si="3"/>
        <v>-1.3328491401189224</v>
      </c>
      <c r="M88" s="28">
        <f t="shared" si="4"/>
        <v>-1.9390644525309493</v>
      </c>
      <c r="N88" s="29">
        <f t="shared" si="5"/>
        <v>-1.8806905105196432</v>
      </c>
      <c r="O88" s="30">
        <f t="shared" si="6"/>
        <v>-1.6013390957807481</v>
      </c>
      <c r="P88" s="31">
        <f t="shared" si="7"/>
        <v>-1.6084687860692972</v>
      </c>
      <c r="Q88" s="20">
        <v>6.53451141918968E-2</v>
      </c>
      <c r="R88" s="20">
        <v>8.14287816564052E-2</v>
      </c>
      <c r="S88" s="20">
        <v>9.0534784023115794E-2</v>
      </c>
      <c r="T88" s="70">
        <v>2.58402455420986E-2</v>
      </c>
      <c r="U88" s="70">
        <v>2.95660840502119E-2</v>
      </c>
      <c r="V88" s="20">
        <v>5.40392851960333E-2</v>
      </c>
    </row>
    <row r="89" spans="1:22" ht="15.75" customHeight="1" x14ac:dyDescent="0.3">
      <c r="A89" s="21" t="s">
        <v>120</v>
      </c>
      <c r="B89" s="21" t="s">
        <v>110</v>
      </c>
      <c r="C89" s="183">
        <v>-8.5145712623440006E-2</v>
      </c>
      <c r="D89" s="79">
        <v>-0.14901506091073599</v>
      </c>
      <c r="E89" s="102">
        <v>-0.17905985420936499</v>
      </c>
      <c r="F89" s="26">
        <v>-0.13339013536260599</v>
      </c>
      <c r="G89" s="31">
        <v>-0.11901753772745501</v>
      </c>
      <c r="H89" s="234">
        <v>-0.13018504747123</v>
      </c>
      <c r="I89" s="12">
        <f t="shared" si="0"/>
        <v>-0.13263555805080532</v>
      </c>
      <c r="J89" s="25">
        <f t="shared" si="1"/>
        <v>-0.47505897683951487</v>
      </c>
      <c r="K89" s="26">
        <f t="shared" si="2"/>
        <v>-1.8803641284095063</v>
      </c>
      <c r="L89" s="27">
        <f t="shared" si="3"/>
        <v>-2.1340637125109296</v>
      </c>
      <c r="M89" s="28">
        <f t="shared" si="4"/>
        <v>-1.6527078942124966</v>
      </c>
      <c r="N89" s="29">
        <f t="shared" si="5"/>
        <v>-1.2021242565129613</v>
      </c>
      <c r="O89" s="30">
        <f t="shared" si="6"/>
        <v>-1.5563476130086293</v>
      </c>
      <c r="P89" s="31">
        <f t="shared" si="7"/>
        <v>-1.4834444302490064</v>
      </c>
      <c r="Q89" s="20">
        <v>0.31678587544083098</v>
      </c>
      <c r="R89" s="70">
        <v>2.9588107766908602E-2</v>
      </c>
      <c r="S89" s="70">
        <v>1.61184467573229E-2</v>
      </c>
      <c r="T89" s="70">
        <v>4.8614693728545197E-2</v>
      </c>
      <c r="U89" s="20">
        <v>0.113852638384232</v>
      </c>
      <c r="V89" s="20">
        <v>5.9174360853091301E-2</v>
      </c>
    </row>
    <row r="90" spans="1:22" ht="15.75" customHeight="1" x14ac:dyDescent="0.3">
      <c r="A90" s="21" t="s">
        <v>121</v>
      </c>
      <c r="B90" s="21" t="s">
        <v>110</v>
      </c>
      <c r="C90" s="101">
        <v>-0.11419712349899901</v>
      </c>
      <c r="D90" s="236">
        <v>-0.13846898952237099</v>
      </c>
      <c r="E90" s="27">
        <v>-0.18470282967929599</v>
      </c>
      <c r="F90" s="75">
        <v>-0.135892010336396</v>
      </c>
      <c r="G90" s="174">
        <v>-0.121189640068725</v>
      </c>
      <c r="H90" s="229">
        <v>-0.116612380669825</v>
      </c>
      <c r="I90" s="12">
        <f t="shared" si="0"/>
        <v>-0.13517716229593532</v>
      </c>
      <c r="J90" s="25">
        <f t="shared" si="1"/>
        <v>-0.94608242965078559</v>
      </c>
      <c r="K90" s="26">
        <f t="shared" si="2"/>
        <v>-1.6213292130868977</v>
      </c>
      <c r="L90" s="27">
        <f t="shared" si="3"/>
        <v>-2.2377092022534897</v>
      </c>
      <c r="M90" s="28">
        <f t="shared" si="4"/>
        <v>-1.7238832237367461</v>
      </c>
      <c r="N90" s="29">
        <f t="shared" si="5"/>
        <v>-1.2605438677850445</v>
      </c>
      <c r="O90" s="30">
        <f t="shared" si="6"/>
        <v>-1.1720453643300057</v>
      </c>
      <c r="P90" s="31">
        <f t="shared" si="7"/>
        <v>-1.4935988834738281</v>
      </c>
      <c r="Q90" s="20">
        <v>0.17121832747420901</v>
      </c>
      <c r="R90" s="20">
        <v>5.1873955525328697E-2</v>
      </c>
      <c r="S90" s="70">
        <v>1.2369129642308701E-2</v>
      </c>
      <c r="T90" s="70">
        <v>4.1827773163844402E-2</v>
      </c>
      <c r="U90" s="20">
        <v>0.10295122540525201</v>
      </c>
      <c r="V90" s="20">
        <v>0.119775875639357</v>
      </c>
    </row>
    <row r="91" spans="1:22" ht="15.75" customHeight="1" x14ac:dyDescent="0.3">
      <c r="A91" s="21" t="s">
        <v>122</v>
      </c>
      <c r="B91" s="21" t="s">
        <v>110</v>
      </c>
      <c r="C91" s="217">
        <v>-0.115417771014779</v>
      </c>
      <c r="D91" s="205">
        <v>-0.150784079337172</v>
      </c>
      <c r="E91" s="96">
        <v>-0.17493857998975201</v>
      </c>
      <c r="F91" s="73">
        <v>-0.12876457581804199</v>
      </c>
      <c r="G91" s="113">
        <v>-0.12824897267785501</v>
      </c>
      <c r="H91" s="25">
        <v>-0.13733552559099399</v>
      </c>
      <c r="I91" s="12">
        <f t="shared" si="0"/>
        <v>-0.13924825073809902</v>
      </c>
      <c r="J91" s="25">
        <f t="shared" si="1"/>
        <v>-0.96587333102941375</v>
      </c>
      <c r="K91" s="26">
        <f t="shared" si="2"/>
        <v>-1.9238151464636357</v>
      </c>
      <c r="L91" s="27">
        <f t="shared" si="3"/>
        <v>-2.0583675683169167</v>
      </c>
      <c r="M91" s="28">
        <f t="shared" si="4"/>
        <v>-1.5211162966037453</v>
      </c>
      <c r="N91" s="29">
        <f t="shared" si="5"/>
        <v>-1.4504076044193825</v>
      </c>
      <c r="O91" s="30">
        <f t="shared" si="6"/>
        <v>-1.7588092854832045</v>
      </c>
      <c r="P91" s="31">
        <f t="shared" si="7"/>
        <v>-1.6130648720527165</v>
      </c>
      <c r="Q91" s="20">
        <v>0.166217404014984</v>
      </c>
      <c r="R91" s="70">
        <v>2.67734786551139E-2</v>
      </c>
      <c r="S91" s="70">
        <v>1.9437748471844599E-2</v>
      </c>
      <c r="T91" s="20">
        <v>6.3456531066809901E-2</v>
      </c>
      <c r="U91" s="20">
        <v>7.2774432404173195E-2</v>
      </c>
      <c r="V91" s="70">
        <v>3.8789808085413102E-2</v>
      </c>
    </row>
    <row r="92" spans="1:22" ht="15.75" customHeight="1" x14ac:dyDescent="0.3">
      <c r="A92" s="21" t="s">
        <v>123</v>
      </c>
      <c r="B92" s="21" t="s">
        <v>110</v>
      </c>
      <c r="C92" s="173">
        <v>-0.106995303155898</v>
      </c>
      <c r="D92" s="162">
        <v>-0.151566529795018</v>
      </c>
      <c r="E92" s="237">
        <v>-0.17386070827077599</v>
      </c>
      <c r="F92" s="178">
        <v>-0.119775280854077</v>
      </c>
      <c r="G92" s="136">
        <v>-0.12946033744510199</v>
      </c>
      <c r="H92" s="71">
        <v>-0.13488582475366701</v>
      </c>
      <c r="I92" s="12">
        <f t="shared" si="0"/>
        <v>-0.13609066404575632</v>
      </c>
      <c r="J92" s="25">
        <f t="shared" si="1"/>
        <v>-0.82931611151689522</v>
      </c>
      <c r="K92" s="26">
        <f t="shared" si="2"/>
        <v>-1.9430338659875606</v>
      </c>
      <c r="L92" s="27">
        <f t="shared" si="3"/>
        <v>-2.0385701152200153</v>
      </c>
      <c r="M92" s="28">
        <f t="shared" si="4"/>
        <v>-1.2653816823829365</v>
      </c>
      <c r="N92" s="29">
        <f t="shared" si="5"/>
        <v>-1.4829877722442051</v>
      </c>
      <c r="O92" s="30">
        <f t="shared" si="6"/>
        <v>-1.6894474162094952</v>
      </c>
      <c r="P92" s="31">
        <f t="shared" si="7"/>
        <v>-1.541456160593518</v>
      </c>
      <c r="Q92" s="20">
        <v>0.20265065638469501</v>
      </c>
      <c r="R92" s="70">
        <v>2.5601838603230499E-2</v>
      </c>
      <c r="S92" s="70">
        <v>2.0396086707305999E-2</v>
      </c>
      <c r="T92" s="20">
        <v>0.102083682723545</v>
      </c>
      <c r="U92" s="20">
        <v>6.8358553591516102E-2</v>
      </c>
      <c r="V92" s="70">
        <v>4.5008939701951703E-2</v>
      </c>
    </row>
    <row r="93" spans="1:22" ht="15.75" customHeight="1" x14ac:dyDescent="0.3">
      <c r="A93" s="21" t="s">
        <v>124</v>
      </c>
      <c r="B93" s="21" t="s">
        <v>110</v>
      </c>
      <c r="C93" s="133">
        <v>-0.12225339710314601</v>
      </c>
      <c r="D93" s="167">
        <v>-0.12608586053732199</v>
      </c>
      <c r="E93" s="238">
        <v>-0.15344454982900099</v>
      </c>
      <c r="F93" s="107">
        <v>-0.105404045539518</v>
      </c>
      <c r="G93" s="155">
        <v>-0.144790367430608</v>
      </c>
      <c r="H93" s="136">
        <v>-0.10946190255006</v>
      </c>
      <c r="I93" s="12">
        <f t="shared" si="0"/>
        <v>-0.12690668716494249</v>
      </c>
      <c r="J93" s="25">
        <f t="shared" si="1"/>
        <v>-1.0767023787497156</v>
      </c>
      <c r="K93" s="26">
        <f t="shared" si="2"/>
        <v>-1.3171720867080665</v>
      </c>
      <c r="L93" s="27">
        <f t="shared" si="3"/>
        <v>-1.6635830624435219</v>
      </c>
      <c r="M93" s="28">
        <f t="shared" si="4"/>
        <v>-0.85653734767393885</v>
      </c>
      <c r="N93" s="29">
        <f t="shared" si="5"/>
        <v>-1.8952954133376771</v>
      </c>
      <c r="O93" s="30">
        <f t="shared" si="6"/>
        <v>-0.96958369185540183</v>
      </c>
      <c r="P93" s="31">
        <f t="shared" si="7"/>
        <v>-1.2964789967947203</v>
      </c>
      <c r="Q93" s="20">
        <v>0.13997437861537701</v>
      </c>
      <c r="R93" s="20">
        <v>9.3127757044533493E-2</v>
      </c>
      <c r="S93" s="70">
        <v>4.7524077801249502E-2</v>
      </c>
      <c r="T93" s="20">
        <v>0.19503062557088</v>
      </c>
      <c r="U93" s="70">
        <v>2.8594408539379099E-2</v>
      </c>
      <c r="V93" s="20">
        <v>0.16529044894414599</v>
      </c>
    </row>
    <row r="94" spans="1:22" ht="15.75" customHeight="1" x14ac:dyDescent="0.3">
      <c r="A94" s="21" t="s">
        <v>125</v>
      </c>
      <c r="B94" s="21" t="s">
        <v>110</v>
      </c>
      <c r="C94" s="115">
        <v>-0.122863720861035</v>
      </c>
      <c r="D94" s="56">
        <v>-0.11482537786135801</v>
      </c>
      <c r="E94" s="161">
        <v>-0.11819180419662099</v>
      </c>
      <c r="F94" s="115">
        <v>-9.1731007892063607E-2</v>
      </c>
      <c r="G94" s="74">
        <v>-0.13367922853103101</v>
      </c>
      <c r="H94" s="239">
        <v>-9.8074104063028605E-2</v>
      </c>
      <c r="I94" s="12">
        <f t="shared" si="0"/>
        <v>-0.11322754056752288</v>
      </c>
      <c r="J94" s="25">
        <f t="shared" si="1"/>
        <v>-1.0865978294390135</v>
      </c>
      <c r="K94" s="26">
        <f t="shared" si="2"/>
        <v>-1.0405896448636023</v>
      </c>
      <c r="L94" s="27">
        <f t="shared" si="3"/>
        <v>-1.016089890568614</v>
      </c>
      <c r="M94" s="28">
        <f t="shared" si="4"/>
        <v>-0.46755589562288308</v>
      </c>
      <c r="N94" s="29">
        <f t="shared" si="5"/>
        <v>-1.5964566325996177</v>
      </c>
      <c r="O94" s="30">
        <f t="shared" si="6"/>
        <v>-0.6471447319884901</v>
      </c>
      <c r="P94" s="31">
        <f t="shared" si="7"/>
        <v>-0.97573910418037013</v>
      </c>
      <c r="Q94" s="20">
        <v>0.13777637019702699</v>
      </c>
      <c r="R94" s="20">
        <v>0.14819723090342801</v>
      </c>
      <c r="S94" s="20">
        <v>0.15395628507721201</v>
      </c>
      <c r="T94" s="20">
        <v>0.31947172471921997</v>
      </c>
      <c r="U94" s="20">
        <v>5.4578877869878001E-2</v>
      </c>
      <c r="V94" s="20">
        <v>0.25804384968160099</v>
      </c>
    </row>
    <row r="95" spans="1:22" ht="15.75" customHeight="1" x14ac:dyDescent="0.3">
      <c r="A95" s="21" t="s">
        <v>126</v>
      </c>
      <c r="B95" s="21" t="s">
        <v>127</v>
      </c>
      <c r="C95" s="107">
        <v>-2.0329329535532601E-2</v>
      </c>
      <c r="D95" s="123">
        <v>-5.11066949245568E-2</v>
      </c>
      <c r="E95" s="163">
        <v>-4.3178272977790399E-3</v>
      </c>
      <c r="F95" s="174">
        <v>-4.8180928406446999E-2</v>
      </c>
      <c r="G95" s="178">
        <v>-6.6051657559547894E-2</v>
      </c>
      <c r="H95" s="60">
        <v>-6.0732718326480799E-2</v>
      </c>
      <c r="I95" s="12">
        <f t="shared" si="0"/>
        <v>-4.1786526008390688E-2</v>
      </c>
      <c r="J95" s="25">
        <f t="shared" si="1"/>
        <v>0.5758378863654724</v>
      </c>
      <c r="K95" s="26">
        <f t="shared" si="2"/>
        <v>0.52448260158563564</v>
      </c>
      <c r="L95" s="27">
        <f t="shared" si="3"/>
        <v>1.0754528013151359</v>
      </c>
      <c r="M95" s="28">
        <f t="shared" si="4"/>
        <v>0.77139141016530177</v>
      </c>
      <c r="N95" s="29">
        <f t="shared" si="5"/>
        <v>0.22241549527595059</v>
      </c>
      <c r="O95" s="30">
        <f t="shared" si="6"/>
        <v>0.41015511315658487</v>
      </c>
      <c r="P95" s="31">
        <f t="shared" si="7"/>
        <v>0.5966225513106802</v>
      </c>
      <c r="Q95" s="20">
        <v>0.281688144865478</v>
      </c>
      <c r="R95" s="20">
        <v>0.29933969318162401</v>
      </c>
      <c r="S95" s="20">
        <v>0.14025362382815601</v>
      </c>
      <c r="T95" s="20">
        <v>0.219446112271556</v>
      </c>
      <c r="U95" s="20">
        <v>0.41169520442622798</v>
      </c>
      <c r="V95" s="20">
        <v>0.34032481998716702</v>
      </c>
    </row>
    <row r="96" spans="1:22" ht="15.75" customHeight="1" x14ac:dyDescent="0.3">
      <c r="A96" s="21" t="s">
        <v>128</v>
      </c>
      <c r="B96" s="21" t="s">
        <v>127</v>
      </c>
      <c r="C96" s="81">
        <v>6.9998586632172496E-2</v>
      </c>
      <c r="D96" s="33">
        <v>-4.0594643121315097E-2</v>
      </c>
      <c r="E96" s="23">
        <v>-1.91544144883854E-2</v>
      </c>
      <c r="F96" s="113">
        <v>-1.8507527554523898E-2</v>
      </c>
      <c r="G96" s="148">
        <v>-4.4247091749100402E-2</v>
      </c>
      <c r="H96" s="67">
        <v>-5.3979488991147698E-2</v>
      </c>
      <c r="I96" s="12">
        <f t="shared" si="0"/>
        <v>-1.7747429878716667E-2</v>
      </c>
      <c r="J96" s="25">
        <f t="shared" si="1"/>
        <v>2.0403645883837194</v>
      </c>
      <c r="K96" s="26">
        <f t="shared" si="2"/>
        <v>0.78268192040721485</v>
      </c>
      <c r="L96" s="27">
        <f t="shared" si="3"/>
        <v>0.80294668221669629</v>
      </c>
      <c r="M96" s="28">
        <f t="shared" si="4"/>
        <v>1.6155639231271901</v>
      </c>
      <c r="N96" s="29">
        <f t="shared" si="5"/>
        <v>0.80885851612280346</v>
      </c>
      <c r="O96" s="30">
        <f t="shared" si="6"/>
        <v>0.6013689149381406</v>
      </c>
      <c r="P96" s="31">
        <f t="shared" si="7"/>
        <v>1.1086307575326275</v>
      </c>
      <c r="Q96" s="70">
        <v>2.03076017220029E-2</v>
      </c>
      <c r="R96" s="20">
        <v>0.216111045521649</v>
      </c>
      <c r="S96" s="20">
        <v>0.21019931186947899</v>
      </c>
      <c r="T96" s="20">
        <v>5.2491255458232897E-2</v>
      </c>
      <c r="U96" s="20">
        <v>0.20849274677332699</v>
      </c>
      <c r="V96" s="20">
        <v>0.27310355728936397</v>
      </c>
    </row>
    <row r="97" spans="1:22" ht="15.75" customHeight="1" x14ac:dyDescent="0.3">
      <c r="A97" s="21" t="s">
        <v>129</v>
      </c>
      <c r="B97" s="21" t="s">
        <v>127</v>
      </c>
      <c r="C97" s="42">
        <v>-6.0122438549954103E-2</v>
      </c>
      <c r="D97" s="43">
        <v>-1.85386120994111E-2</v>
      </c>
      <c r="E97" s="164">
        <v>1.5823579529354599E-2</v>
      </c>
      <c r="F97" s="30">
        <v>-4.1053493888092901E-2</v>
      </c>
      <c r="G97" s="122">
        <v>-3.7744708458245298E-2</v>
      </c>
      <c r="H97" s="103">
        <v>-7.0310827906659101E-2</v>
      </c>
      <c r="I97" s="12">
        <f t="shared" si="0"/>
        <v>-3.5324416895501316E-2</v>
      </c>
      <c r="J97" s="25">
        <f t="shared" si="1"/>
        <v>-6.9345498577702572E-2</v>
      </c>
      <c r="K97" s="26">
        <f t="shared" si="2"/>
        <v>1.3244269852486052</v>
      </c>
      <c r="L97" s="27">
        <f t="shared" si="3"/>
        <v>1.4453934444786858</v>
      </c>
      <c r="M97" s="28">
        <f t="shared" si="4"/>
        <v>0.97415833729830492</v>
      </c>
      <c r="N97" s="29">
        <f t="shared" si="5"/>
        <v>0.98374286525146459</v>
      </c>
      <c r="O97" s="30">
        <f t="shared" si="6"/>
        <v>0.13895645311346383</v>
      </c>
      <c r="P97" s="31">
        <f t="shared" si="7"/>
        <v>0.79955543113547023</v>
      </c>
      <c r="Q97" s="20">
        <v>0.47226164389005398</v>
      </c>
      <c r="R97" s="20">
        <v>9.1921059625639304E-2</v>
      </c>
      <c r="S97" s="20">
        <v>7.3473017397330698E-2</v>
      </c>
      <c r="T97" s="20">
        <v>0.164152184621398</v>
      </c>
      <c r="U97" s="20">
        <v>0.161783885668809</v>
      </c>
      <c r="V97" s="20">
        <v>0.44455198110000199</v>
      </c>
    </row>
    <row r="98" spans="1:22" ht="15.75" customHeight="1" x14ac:dyDescent="0.3">
      <c r="A98" s="21" t="s">
        <v>130</v>
      </c>
      <c r="B98" s="21" t="s">
        <v>127</v>
      </c>
      <c r="C98" s="141">
        <v>-0.10846008017483399</v>
      </c>
      <c r="D98" s="240">
        <v>-7.4670927553614194E-2</v>
      </c>
      <c r="E98" s="162">
        <v>-6.8292684029923501E-2</v>
      </c>
      <c r="F98" s="74">
        <v>-7.7679779841594201E-2</v>
      </c>
      <c r="G98" s="215">
        <v>-8.3024688033963998E-2</v>
      </c>
      <c r="H98" s="177">
        <v>-0.11122745270308899</v>
      </c>
      <c r="I98" s="12">
        <f t="shared" si="0"/>
        <v>-8.7225935389503143E-2</v>
      </c>
      <c r="J98" s="25">
        <f t="shared" si="1"/>
        <v>-0.85306519317124896</v>
      </c>
      <c r="K98" s="26">
        <f t="shared" si="2"/>
        <v>-5.4307241468561029E-2</v>
      </c>
      <c r="L98" s="27">
        <f t="shared" si="3"/>
        <v>-9.9584267788818556E-2</v>
      </c>
      <c r="M98" s="28">
        <f t="shared" si="4"/>
        <v>-6.7815382132108318E-2</v>
      </c>
      <c r="N98" s="29">
        <f t="shared" si="5"/>
        <v>-0.23408133895924549</v>
      </c>
      <c r="O98" s="30">
        <f t="shared" si="6"/>
        <v>-1.0195742282689013</v>
      </c>
      <c r="P98" s="31">
        <f t="shared" si="7"/>
        <v>-0.38807127529814728</v>
      </c>
      <c r="Q98" s="20">
        <v>0.19599277755090999</v>
      </c>
      <c r="R98" s="20">
        <v>0.47827020402707299</v>
      </c>
      <c r="S98" s="20">
        <v>0.460200168514039</v>
      </c>
      <c r="T98" s="20">
        <v>0.47287273908013999</v>
      </c>
      <c r="U98" s="20">
        <v>0.40714600192433598</v>
      </c>
      <c r="V98" s="20">
        <v>0.15312832348944699</v>
      </c>
    </row>
    <row r="99" spans="1:22" ht="15.75" customHeight="1" x14ac:dyDescent="0.3">
      <c r="A99" s="21" t="s">
        <v>131</v>
      </c>
      <c r="B99" s="21" t="s">
        <v>127</v>
      </c>
      <c r="C99" s="92">
        <v>-0.20472848091933399</v>
      </c>
      <c r="D99" s="121">
        <v>-0.12830847343207399</v>
      </c>
      <c r="E99" s="241">
        <v>-0.20389317322498099</v>
      </c>
      <c r="F99" s="141">
        <v>-0.155994284835101</v>
      </c>
      <c r="G99" s="209">
        <v>-0.19417784822860101</v>
      </c>
      <c r="H99" s="58">
        <v>-0.14027075272040401</v>
      </c>
      <c r="I99" s="12">
        <f t="shared" si="0"/>
        <v>-0.17122883556008253</v>
      </c>
      <c r="J99" s="25">
        <f t="shared" si="1"/>
        <v>-2.4139076152321359</v>
      </c>
      <c r="K99" s="26">
        <f t="shared" si="2"/>
        <v>-1.3717643914427191</v>
      </c>
      <c r="L99" s="27">
        <f t="shared" si="3"/>
        <v>-2.5901815044492</v>
      </c>
      <c r="M99" s="28">
        <f t="shared" si="4"/>
        <v>-2.2957687202628945</v>
      </c>
      <c r="N99" s="29">
        <f t="shared" si="5"/>
        <v>-3.223592600402672</v>
      </c>
      <c r="O99" s="30">
        <f t="shared" si="6"/>
        <v>-1.8419185522706278</v>
      </c>
      <c r="P99" s="31">
        <f t="shared" si="7"/>
        <v>-2.2895222306767082</v>
      </c>
      <c r="Q99" s="70">
        <v>7.7118424326564098E-3</v>
      </c>
      <c r="R99" s="20">
        <v>8.4330470255733495E-2</v>
      </c>
      <c r="S99" s="70">
        <v>4.6726152193390501E-3</v>
      </c>
      <c r="T99" s="70">
        <v>1.06190049151295E-2</v>
      </c>
      <c r="U99" s="70">
        <v>6.0871173842810605E-4</v>
      </c>
      <c r="V99" s="70">
        <v>3.2279258265062102E-2</v>
      </c>
    </row>
    <row r="100" spans="1:22" ht="15.75" customHeight="1" x14ac:dyDescent="0.3">
      <c r="A100" s="21" t="s">
        <v>132</v>
      </c>
      <c r="B100" s="21" t="s">
        <v>127</v>
      </c>
      <c r="C100" s="200">
        <v>3.52101324324482E-2</v>
      </c>
      <c r="D100" s="34">
        <v>-5.5937476012130602E-2</v>
      </c>
      <c r="E100" s="204">
        <v>-5.3899926370660101E-2</v>
      </c>
      <c r="F100" s="174">
        <v>-5.2864671089936803E-2</v>
      </c>
      <c r="G100" s="242">
        <v>-3.8190267912864999E-2</v>
      </c>
      <c r="H100" s="93">
        <v>-4.1598568543037097E-2</v>
      </c>
      <c r="I100" s="12">
        <f t="shared" si="0"/>
        <v>-3.4546796249363569E-2</v>
      </c>
      <c r="J100" s="25">
        <f t="shared" si="1"/>
        <v>1.4763238990929075</v>
      </c>
      <c r="K100" s="26">
        <f t="shared" si="2"/>
        <v>0.40582789843785622</v>
      </c>
      <c r="L100" s="27">
        <f t="shared" si="3"/>
        <v>0.1647699588579577</v>
      </c>
      <c r="M100" s="28">
        <f t="shared" si="4"/>
        <v>0.6381445723350434</v>
      </c>
      <c r="N100" s="29">
        <f t="shared" si="5"/>
        <v>0.97175935524692902</v>
      </c>
      <c r="O100" s="30">
        <f t="shared" si="6"/>
        <v>0.95192755153765707</v>
      </c>
      <c r="P100" s="31">
        <f t="shared" si="7"/>
        <v>0.76812553925139182</v>
      </c>
      <c r="Q100" s="20">
        <v>6.9244527380423596E-2</v>
      </c>
      <c r="R100" s="20">
        <v>0.341917851172089</v>
      </c>
      <c r="S100" s="20">
        <v>0.43433776056163798</v>
      </c>
      <c r="T100" s="20">
        <v>0.26097042218563499</v>
      </c>
      <c r="U100" s="20">
        <v>0.16474846442400001</v>
      </c>
      <c r="V100" s="20">
        <v>0.16973142266987501</v>
      </c>
    </row>
    <row r="101" spans="1:22" ht="15.75" customHeight="1" x14ac:dyDescent="0.3">
      <c r="A101" s="21" t="s">
        <v>133</v>
      </c>
      <c r="B101" s="21" t="s">
        <v>127</v>
      </c>
      <c r="C101" s="52">
        <v>6.62145793332551E-2</v>
      </c>
      <c r="D101" s="209">
        <v>-3.4607196139533399E-2</v>
      </c>
      <c r="E101" s="243">
        <v>1.7055734847321201E-3</v>
      </c>
      <c r="F101" s="128">
        <v>-2.3918559474580499E-2</v>
      </c>
      <c r="G101" s="122">
        <v>-2.8624663371499999E-2</v>
      </c>
      <c r="H101" s="92">
        <v>-1.1672493449208E-2</v>
      </c>
      <c r="I101" s="12">
        <f t="shared" si="0"/>
        <v>-5.1504599361391129E-3</v>
      </c>
      <c r="J101" s="25">
        <f t="shared" si="1"/>
        <v>1.979012794109982</v>
      </c>
      <c r="K101" s="26">
        <f t="shared" si="2"/>
        <v>0.92974690459038012</v>
      </c>
      <c r="L101" s="27">
        <f t="shared" si="3"/>
        <v>1.1860856274448448</v>
      </c>
      <c r="M101" s="28">
        <f t="shared" si="4"/>
        <v>1.4616265825282566</v>
      </c>
      <c r="N101" s="29">
        <f t="shared" si="5"/>
        <v>1.229030335656758</v>
      </c>
      <c r="O101" s="30">
        <f t="shared" si="6"/>
        <v>1.7992671437461216</v>
      </c>
      <c r="P101" s="31">
        <f t="shared" si="7"/>
        <v>1.4307948980127241</v>
      </c>
      <c r="Q101" s="70">
        <v>2.3523742714360401E-2</v>
      </c>
      <c r="R101" s="20">
        <v>0.17541783044437501</v>
      </c>
      <c r="S101" s="20">
        <v>0.116984514488144</v>
      </c>
      <c r="T101" s="20">
        <v>7.1229808352210794E-2</v>
      </c>
      <c r="U101" s="20">
        <v>0.10873371560195</v>
      </c>
      <c r="V101" s="70">
        <v>3.5497941464245203E-2</v>
      </c>
    </row>
    <row r="102" spans="1:22" ht="15.75" customHeight="1" x14ac:dyDescent="0.3">
      <c r="A102" s="21" t="s">
        <v>134</v>
      </c>
      <c r="B102" s="21" t="s">
        <v>127</v>
      </c>
      <c r="C102" s="109">
        <v>-4.8729728402675997E-2</v>
      </c>
      <c r="D102" s="244">
        <v>-2.4775536038767001E-2</v>
      </c>
      <c r="E102" s="58">
        <v>7.4964921317778902E-3</v>
      </c>
      <c r="F102" s="210">
        <v>-7.6457933924162003E-2</v>
      </c>
      <c r="G102" s="166">
        <v>-6.5397242110575404E-2</v>
      </c>
      <c r="H102" s="134">
        <v>-8.4037980346453905E-2</v>
      </c>
      <c r="I102" s="12">
        <f t="shared" si="0"/>
        <v>-4.8650321448476065E-2</v>
      </c>
      <c r="J102" s="25">
        <f t="shared" si="1"/>
        <v>0.1153695809561302</v>
      </c>
      <c r="K102" s="26">
        <f t="shared" si="2"/>
        <v>1.1712342933911422</v>
      </c>
      <c r="L102" s="27">
        <f t="shared" si="3"/>
        <v>1.2924484146713009</v>
      </c>
      <c r="M102" s="28">
        <f t="shared" si="4"/>
        <v>-3.3055337480734429E-2</v>
      </c>
      <c r="N102" s="29">
        <f t="shared" si="5"/>
        <v>0.24001627559510705</v>
      </c>
      <c r="O102" s="30">
        <f t="shared" si="6"/>
        <v>-0.24971996750133446</v>
      </c>
      <c r="P102" s="31">
        <f t="shared" si="7"/>
        <v>0.42271554327193522</v>
      </c>
      <c r="Q102" s="20">
        <v>0.45391762093603</v>
      </c>
      <c r="R102" s="20">
        <v>0.119938548438754</v>
      </c>
      <c r="S102" s="20">
        <v>9.7327925854462205E-2</v>
      </c>
      <c r="T102" s="20">
        <v>0.48676954487915702</v>
      </c>
      <c r="U102" s="20">
        <v>0.40483637625024799</v>
      </c>
      <c r="V102" s="20">
        <v>0.40106727716380097</v>
      </c>
    </row>
    <row r="103" spans="1:22" ht="15.75" customHeight="1" x14ac:dyDescent="0.3">
      <c r="A103" s="21" t="s">
        <v>135</v>
      </c>
      <c r="B103" s="21" t="s">
        <v>127</v>
      </c>
      <c r="C103" s="36">
        <v>-2.5293296099703801E-2</v>
      </c>
      <c r="D103" s="234">
        <v>-4.0916282835212802E-3</v>
      </c>
      <c r="E103" s="234">
        <v>3.5901582137724999E-2</v>
      </c>
      <c r="F103" s="216">
        <v>-3.8667985192154003E-2</v>
      </c>
      <c r="G103" s="245">
        <v>-3.5697919713586497E-2</v>
      </c>
      <c r="H103" s="82">
        <v>-7.2208794321164504E-2</v>
      </c>
      <c r="I103" s="12">
        <f t="shared" si="0"/>
        <v>-2.3343006912067515E-2</v>
      </c>
      <c r="J103" s="25">
        <f t="shared" si="1"/>
        <v>0.49535488742573053</v>
      </c>
      <c r="K103" s="26">
        <f t="shared" si="2"/>
        <v>1.6792769660238915</v>
      </c>
      <c r="L103" s="27">
        <f t="shared" si="3"/>
        <v>1.8141695315777133</v>
      </c>
      <c r="M103" s="28">
        <f t="shared" si="4"/>
        <v>1.0420231863795542</v>
      </c>
      <c r="N103" s="29">
        <f t="shared" si="5"/>
        <v>1.0387921143347882</v>
      </c>
      <c r="O103" s="30">
        <f t="shared" si="6"/>
        <v>8.5216626468973669E-2</v>
      </c>
      <c r="P103" s="31">
        <f t="shared" si="7"/>
        <v>1.0258055520351084</v>
      </c>
      <c r="Q103" s="20">
        <v>0.30956917687947799</v>
      </c>
      <c r="R103" s="70">
        <v>4.59848615862751E-2</v>
      </c>
      <c r="S103" s="70">
        <v>3.4344656060783997E-2</v>
      </c>
      <c r="T103" s="20">
        <v>0.14786477726403399</v>
      </c>
      <c r="U103" s="20">
        <v>0.148614803698186</v>
      </c>
      <c r="V103" s="20">
        <v>0.465927175668085</v>
      </c>
    </row>
    <row r="104" spans="1:22" ht="15.75" customHeight="1" x14ac:dyDescent="0.3">
      <c r="A104" s="21" t="s">
        <v>136</v>
      </c>
      <c r="B104" s="21" t="s">
        <v>127</v>
      </c>
      <c r="C104" s="25">
        <v>-0.22254993464971901</v>
      </c>
      <c r="D104" s="246">
        <v>-0.13415984207336101</v>
      </c>
      <c r="E104" s="189">
        <v>-0.20964182239285101</v>
      </c>
      <c r="F104" s="165">
        <v>-0.156285200529727</v>
      </c>
      <c r="G104" s="163">
        <v>-0.19463733141617801</v>
      </c>
      <c r="H104" s="94">
        <v>-0.14419910181089099</v>
      </c>
      <c r="I104" s="12">
        <f t="shared" si="0"/>
        <v>-0.17691220547878783</v>
      </c>
      <c r="J104" s="25">
        <f t="shared" si="1"/>
        <v>-2.7028547753600596</v>
      </c>
      <c r="K104" s="26">
        <f t="shared" si="2"/>
        <v>-1.5154869896217305</v>
      </c>
      <c r="L104" s="27">
        <f t="shared" si="3"/>
        <v>-2.6957679209659697</v>
      </c>
      <c r="M104" s="28">
        <f t="shared" si="4"/>
        <v>-2.3040449213703442</v>
      </c>
      <c r="N104" s="29">
        <f t="shared" si="5"/>
        <v>-3.2359505950948608</v>
      </c>
      <c r="O104" s="30">
        <f t="shared" si="6"/>
        <v>-1.9531474957905923</v>
      </c>
      <c r="P104" s="31">
        <f t="shared" si="7"/>
        <v>-2.4012087830339266</v>
      </c>
      <c r="Q104" s="70">
        <v>3.3416761561465601E-3</v>
      </c>
      <c r="R104" s="20">
        <v>6.4162549128132407E-2</v>
      </c>
      <c r="S104" s="70">
        <v>3.4140678399068301E-3</v>
      </c>
      <c r="T104" s="70">
        <v>1.0387981007778701E-2</v>
      </c>
      <c r="U104" s="70">
        <v>5.8279967710853802E-4</v>
      </c>
      <c r="V104" s="70">
        <v>2.50027154698211E-2</v>
      </c>
    </row>
    <row r="105" spans="1:22" ht="15.75" customHeight="1" x14ac:dyDescent="0.3">
      <c r="A105" s="21" t="s">
        <v>137</v>
      </c>
      <c r="B105" s="21" t="s">
        <v>127</v>
      </c>
      <c r="C105" s="165">
        <v>-5.8657661531018403E-2</v>
      </c>
      <c r="D105" s="102">
        <v>-1.7676782609609101E-2</v>
      </c>
      <c r="E105" s="247">
        <v>-6.8751307878977801E-3</v>
      </c>
      <c r="F105" s="131">
        <v>-4.2129881958211698E-2</v>
      </c>
      <c r="G105" s="204">
        <v>-5.8922706285634001E-2</v>
      </c>
      <c r="H105" s="216">
        <v>-8.5494559222702202E-2</v>
      </c>
      <c r="I105" s="12">
        <f t="shared" si="0"/>
        <v>-4.49594537325122E-2</v>
      </c>
      <c r="J105" s="25">
        <f t="shared" si="1"/>
        <v>-4.5596416923353554E-2</v>
      </c>
      <c r="K105" s="26">
        <f t="shared" si="2"/>
        <v>1.3455954299416388</v>
      </c>
      <c r="L105" s="27">
        <f t="shared" si="3"/>
        <v>1.0284823733793653</v>
      </c>
      <c r="M105" s="28">
        <f t="shared" si="4"/>
        <v>0.94353639320066729</v>
      </c>
      <c r="N105" s="29">
        <f t="shared" si="5"/>
        <v>0.41415165534848558</v>
      </c>
      <c r="O105" s="30">
        <f t="shared" si="6"/>
        <v>-0.29096216004245379</v>
      </c>
      <c r="P105" s="31">
        <f t="shared" si="7"/>
        <v>0.56586787915072501</v>
      </c>
      <c r="Q105" s="20">
        <v>0.48175297665625599</v>
      </c>
      <c r="R105" s="20">
        <v>8.8466370777342401E-2</v>
      </c>
      <c r="S105" s="20">
        <v>0.15102497657889799</v>
      </c>
      <c r="T105" s="20">
        <v>0.171868594322028</v>
      </c>
      <c r="U105" s="20">
        <v>0.33885604951978299</v>
      </c>
      <c r="V105" s="20">
        <v>0.38515451417659202</v>
      </c>
    </row>
    <row r="106" spans="1:22" ht="15.75" customHeight="1" x14ac:dyDescent="0.3">
      <c r="A106" s="21" t="s">
        <v>138</v>
      </c>
      <c r="B106" s="21" t="s">
        <v>139</v>
      </c>
      <c r="C106" s="109">
        <v>-0.10638497939800801</v>
      </c>
      <c r="D106" s="172">
        <v>-8.3402621068712504E-2</v>
      </c>
      <c r="E106" s="193">
        <v>-8.7926857106951001E-2</v>
      </c>
      <c r="F106" s="210">
        <v>-7.13281205089112E-2</v>
      </c>
      <c r="G106" s="58">
        <v>-7.0604718236442099E-2</v>
      </c>
      <c r="H106" s="248">
        <v>-0.101605204369085</v>
      </c>
      <c r="I106" s="12">
        <f t="shared" si="0"/>
        <v>-8.6875416781351633E-2</v>
      </c>
      <c r="J106" s="25">
        <f t="shared" si="1"/>
        <v>-0.81942066082758114</v>
      </c>
      <c r="K106" s="26">
        <f t="shared" si="2"/>
        <v>-0.26877701006901039</v>
      </c>
      <c r="L106" s="27">
        <f t="shared" si="3"/>
        <v>-0.46020846243618374</v>
      </c>
      <c r="M106" s="28">
        <f t="shared" si="4"/>
        <v>0.11288167538097892</v>
      </c>
      <c r="N106" s="29">
        <f t="shared" si="5"/>
        <v>9.9959002417125062E-2</v>
      </c>
      <c r="O106" s="30">
        <f t="shared" si="6"/>
        <v>-0.74712580481544377</v>
      </c>
      <c r="P106" s="31">
        <f t="shared" si="7"/>
        <v>-0.3471152100583525</v>
      </c>
      <c r="Q106" s="20">
        <v>0.205464198515632</v>
      </c>
      <c r="R106" s="20">
        <v>0.393692203080383</v>
      </c>
      <c r="S106" s="20">
        <v>0.32211106878399498</v>
      </c>
      <c r="T106" s="20">
        <v>0.454907081964254</v>
      </c>
      <c r="U106" s="20">
        <v>0.46005090279803401</v>
      </c>
      <c r="V106" s="20">
        <v>0.22671303408847601</v>
      </c>
    </row>
    <row r="107" spans="1:22" ht="15.75" customHeight="1" x14ac:dyDescent="0.3">
      <c r="A107" s="21" t="s">
        <v>140</v>
      </c>
      <c r="B107" s="21" t="s">
        <v>139</v>
      </c>
      <c r="C107" s="233">
        <v>-0.15301371450079601</v>
      </c>
      <c r="D107" s="194">
        <v>-0.105844207388685</v>
      </c>
      <c r="E107" s="143">
        <v>-2.4099943551920799E-2</v>
      </c>
      <c r="F107" s="249">
        <v>-6.3541277082736602E-2</v>
      </c>
      <c r="G107" s="201">
        <v>-0.14692069857300799</v>
      </c>
      <c r="H107" s="82">
        <v>-0.124424940096975</v>
      </c>
      <c r="I107" s="12">
        <f t="shared" si="0"/>
        <v>-0.10297413019902023</v>
      </c>
      <c r="J107" s="25">
        <f t="shared" si="1"/>
        <v>-1.5754330934910499</v>
      </c>
      <c r="K107" s="26">
        <f t="shared" si="2"/>
        <v>-0.81999216858884305</v>
      </c>
      <c r="L107" s="27">
        <f t="shared" si="3"/>
        <v>0.71211130918388399</v>
      </c>
      <c r="M107" s="28">
        <f t="shared" si="4"/>
        <v>0.33440799169091251</v>
      </c>
      <c r="N107" s="29">
        <f t="shared" si="5"/>
        <v>-1.9525915705468513</v>
      </c>
      <c r="O107" s="30">
        <f t="shared" si="6"/>
        <v>-1.3932534879596468</v>
      </c>
      <c r="P107" s="31">
        <f t="shared" si="7"/>
        <v>-0.78245850328526567</v>
      </c>
      <c r="Q107" s="20">
        <v>5.6951151584529999E-2</v>
      </c>
      <c r="R107" s="20">
        <v>0.20530107504646999</v>
      </c>
      <c r="S107" s="20">
        <v>0.23743441459300799</v>
      </c>
      <c r="T107" s="20">
        <v>0.36859866040316702</v>
      </c>
      <c r="U107" s="70">
        <v>2.5035339979546101E-2</v>
      </c>
      <c r="V107" s="20">
        <v>8.10441015479854E-2</v>
      </c>
    </row>
    <row r="108" spans="1:22" ht="15.75" customHeight="1" x14ac:dyDescent="0.3">
      <c r="A108" s="21" t="s">
        <v>141</v>
      </c>
      <c r="B108" s="21" t="s">
        <v>142</v>
      </c>
      <c r="C108" s="234">
        <v>1.2017829632632E-2</v>
      </c>
      <c r="D108" s="57">
        <v>-7.3457562350866798E-2</v>
      </c>
      <c r="E108" s="224">
        <v>-5.2378225120341501E-2</v>
      </c>
      <c r="F108" s="132">
        <v>-4.1751691555197E-2</v>
      </c>
      <c r="G108" s="244">
        <v>-5.4397493074653497E-2</v>
      </c>
      <c r="H108" s="183">
        <v>-5.7819560573984199E-2</v>
      </c>
      <c r="I108" s="12">
        <f t="shared" si="0"/>
        <v>-4.4631117173735163E-2</v>
      </c>
      <c r="J108" s="25">
        <f t="shared" si="1"/>
        <v>1.1002967728990327</v>
      </c>
      <c r="K108" s="26">
        <f t="shared" si="2"/>
        <v>-2.4504299598109746E-2</v>
      </c>
      <c r="L108" s="27">
        <f t="shared" si="3"/>
        <v>0.19271930440651558</v>
      </c>
      <c r="M108" s="28">
        <f t="shared" si="4"/>
        <v>0.95429545464037735</v>
      </c>
      <c r="N108" s="29">
        <f t="shared" si="5"/>
        <v>0.53585917883202838</v>
      </c>
      <c r="O108" s="30">
        <f t="shared" si="6"/>
        <v>0.49263949823882369</v>
      </c>
      <c r="P108" s="31">
        <f t="shared" si="7"/>
        <v>0.54188431823644467</v>
      </c>
      <c r="Q108" s="20">
        <v>0.134772573599382</v>
      </c>
      <c r="R108" s="20">
        <v>0.49019130226075402</v>
      </c>
      <c r="S108" s="20">
        <v>0.42332782613699799</v>
      </c>
      <c r="T108" s="20">
        <v>0.16913143042270001</v>
      </c>
      <c r="U108" s="20">
        <v>0.29538636482326902</v>
      </c>
      <c r="V108" s="20">
        <v>0.31053053603775199</v>
      </c>
    </row>
    <row r="109" spans="1:22" ht="15.75" customHeight="1" x14ac:dyDescent="0.3">
      <c r="A109" s="21" t="s">
        <v>143</v>
      </c>
      <c r="B109" s="250" t="s">
        <v>144</v>
      </c>
      <c r="C109" s="233">
        <v>-4.3765761838504801E-2</v>
      </c>
      <c r="D109" s="106">
        <v>-6.4272274367451698E-2</v>
      </c>
      <c r="E109" s="145">
        <v>4.7229802556763602E-2</v>
      </c>
      <c r="F109" s="216">
        <v>-4.16353252773463E-2</v>
      </c>
      <c r="G109" s="201">
        <v>-0.123612369603219</v>
      </c>
      <c r="H109" s="30">
        <v>-8.62890567915649E-2</v>
      </c>
      <c r="I109" s="12">
        <f t="shared" si="0"/>
        <v>-5.205749755355385E-2</v>
      </c>
      <c r="J109" s="25">
        <f t="shared" si="1"/>
        <v>0.19585257989587196</v>
      </c>
      <c r="K109" s="26">
        <f t="shared" si="2"/>
        <v>0.20110675568288228</v>
      </c>
      <c r="L109" s="27">
        <f t="shared" si="3"/>
        <v>2.0222368817725354</v>
      </c>
      <c r="M109" s="28">
        <f t="shared" si="4"/>
        <v>0.95760593508336578</v>
      </c>
      <c r="N109" s="29">
        <f t="shared" si="5"/>
        <v>-1.3257042034346902</v>
      </c>
      <c r="O109" s="30">
        <f t="shared" si="6"/>
        <v>-0.31345790142851859</v>
      </c>
      <c r="P109" s="31">
        <f t="shared" si="7"/>
        <v>0.28960667459524109</v>
      </c>
      <c r="Q109" s="20">
        <v>0.42209711070558997</v>
      </c>
      <c r="R109" s="20">
        <v>0.42003504170133199</v>
      </c>
      <c r="S109" s="70">
        <v>2.1216600383124999E-2</v>
      </c>
      <c r="T109" s="20">
        <v>0.16829488875492901</v>
      </c>
      <c r="U109" s="20">
        <v>9.1709825841422302E-2</v>
      </c>
      <c r="V109" s="20">
        <v>0.37655379473440798</v>
      </c>
    </row>
    <row r="110" spans="1:22" ht="15.75" customHeight="1" x14ac:dyDescent="0.3">
      <c r="A110" s="21" t="s">
        <v>145</v>
      </c>
      <c r="B110" s="250" t="s">
        <v>146</v>
      </c>
      <c r="C110" s="52">
        <v>-5.6948755008926599E-2</v>
      </c>
      <c r="D110" s="161">
        <v>-0.123704489578659</v>
      </c>
      <c r="E110" s="176">
        <v>-0.102150536849512</v>
      </c>
      <c r="F110" s="118">
        <v>-0.14237943032657099</v>
      </c>
      <c r="G110" s="101">
        <v>-6.1331512087171303E-2</v>
      </c>
      <c r="H110" s="121">
        <v>-0.12654360028060899</v>
      </c>
      <c r="I110" s="12">
        <f t="shared" si="0"/>
        <v>-0.10217638735524148</v>
      </c>
      <c r="J110" s="25">
        <f t="shared" si="1"/>
        <v>-1.7889154993277222E-2</v>
      </c>
      <c r="K110" s="26">
        <f t="shared" si="2"/>
        <v>-1.2586803316352213</v>
      </c>
      <c r="L110" s="27">
        <f t="shared" si="3"/>
        <v>-0.72145720624422527</v>
      </c>
      <c r="M110" s="28">
        <f t="shared" si="4"/>
        <v>-1.9084425084333057</v>
      </c>
      <c r="N110" s="29">
        <f t="shared" si="5"/>
        <v>0.34936580438647691</v>
      </c>
      <c r="O110" s="30">
        <f t="shared" si="6"/>
        <v>-1.4532421316558233</v>
      </c>
      <c r="P110" s="31">
        <f t="shared" si="7"/>
        <v>-0.83505758809589592</v>
      </c>
      <c r="Q110" s="20">
        <v>0.49283890684258003</v>
      </c>
      <c r="R110" s="20">
        <v>0.103286829597277</v>
      </c>
      <c r="S110" s="20">
        <v>0.234545781083802</v>
      </c>
      <c r="T110" s="70">
        <v>2.7742580401249901E-2</v>
      </c>
      <c r="U110" s="20">
        <v>0.36295293904958198</v>
      </c>
      <c r="V110" s="20">
        <v>7.2381775563572198E-2</v>
      </c>
    </row>
    <row r="111" spans="1:22" ht="15.75" customHeight="1" x14ac:dyDescent="0.3">
      <c r="A111" s="21" t="s">
        <v>147</v>
      </c>
      <c r="B111" s="250" t="s">
        <v>148</v>
      </c>
      <c r="C111" s="26">
        <v>-0.12603740440206301</v>
      </c>
      <c r="D111" s="140">
        <v>-0.134726835158757</v>
      </c>
      <c r="E111" s="123">
        <v>-0.136008389669101</v>
      </c>
      <c r="F111" s="63">
        <v>-0.118378885519869</v>
      </c>
      <c r="G111" s="124">
        <v>-0.167263272422985</v>
      </c>
      <c r="H111" s="37">
        <v>-0.118267583938289</v>
      </c>
      <c r="I111" s="12">
        <f t="shared" si="0"/>
        <v>-0.13344706185184399</v>
      </c>
      <c r="J111" s="25">
        <f t="shared" si="1"/>
        <v>-1.1380541730234472</v>
      </c>
      <c r="K111" s="26">
        <f t="shared" si="2"/>
        <v>-1.5294135979724088</v>
      </c>
      <c r="L111" s="27">
        <f t="shared" si="3"/>
        <v>-1.3433301446996411</v>
      </c>
      <c r="M111" s="28">
        <f t="shared" si="4"/>
        <v>-1.2256559170670871</v>
      </c>
      <c r="N111" s="29">
        <f t="shared" si="5"/>
        <v>-2.4997136991913327</v>
      </c>
      <c r="O111" s="30">
        <f t="shared" si="6"/>
        <v>-1.2189114922176421</v>
      </c>
      <c r="P111" s="31">
        <f t="shared" si="7"/>
        <v>-1.4925131706952595</v>
      </c>
      <c r="Q111" s="20">
        <v>0.12672723568194</v>
      </c>
      <c r="R111" s="20">
        <v>6.2426940290000198E-2</v>
      </c>
      <c r="S111" s="20">
        <v>8.8831375910196603E-2</v>
      </c>
      <c r="T111" s="20">
        <v>0.10936647118545299</v>
      </c>
      <c r="U111" s="70">
        <v>6.0643379537316201E-3</v>
      </c>
      <c r="V111" s="20">
        <v>0.110639072032076</v>
      </c>
    </row>
    <row r="112" spans="1:22" ht="15.75" customHeight="1" x14ac:dyDescent="0.3">
      <c r="A112" s="21" t="s">
        <v>149</v>
      </c>
      <c r="B112" s="250" t="s">
        <v>150</v>
      </c>
      <c r="C112" s="198">
        <v>-5.31647477100093E-2</v>
      </c>
      <c r="D112" s="203">
        <v>-5.4349895373021803E-2</v>
      </c>
      <c r="E112" s="131">
        <v>-5.81268742882117E-2</v>
      </c>
      <c r="F112" s="251">
        <v>-4.93542883747747E-2</v>
      </c>
      <c r="G112" s="67">
        <v>-5.8825240154936002E-2</v>
      </c>
      <c r="H112" s="42">
        <v>-7.9447549948580401E-2</v>
      </c>
      <c r="I112" s="12">
        <f t="shared" si="0"/>
        <v>-5.8878099308255653E-2</v>
      </c>
      <c r="J112" s="25">
        <f t="shared" si="1"/>
        <v>4.3462639280458931E-2</v>
      </c>
      <c r="K112" s="26">
        <f t="shared" si="2"/>
        <v>0.44482240181975646</v>
      </c>
      <c r="L112" s="27">
        <f t="shared" si="3"/>
        <v>8.7132887889742577E-2</v>
      </c>
      <c r="M112" s="28">
        <f t="shared" si="4"/>
        <v>0.73801073236517412</v>
      </c>
      <c r="N112" s="29">
        <f t="shared" si="5"/>
        <v>0.41677304816197608</v>
      </c>
      <c r="O112" s="30">
        <f t="shared" si="6"/>
        <v>-0.11974457282628936</v>
      </c>
      <c r="P112" s="31">
        <f t="shared" si="7"/>
        <v>0.26840952278180313</v>
      </c>
      <c r="Q112" s="20">
        <v>0.48260632889406302</v>
      </c>
      <c r="R112" s="20">
        <v>0.327667075495162</v>
      </c>
      <c r="S112" s="20">
        <v>0.465162911043837</v>
      </c>
      <c r="T112" s="20">
        <v>0.22947745469591099</v>
      </c>
      <c r="U112" s="20">
        <v>0.33789398771554302</v>
      </c>
      <c r="V112" s="20">
        <v>0.45217834701430598</v>
      </c>
    </row>
    <row r="113" spans="1:22" ht="15.75" customHeight="1" x14ac:dyDescent="0.3">
      <c r="A113" s="21" t="s">
        <v>151</v>
      </c>
      <c r="B113" s="250" t="s">
        <v>150</v>
      </c>
      <c r="C113" s="242">
        <v>-5.7681143518394602E-2</v>
      </c>
      <c r="D113" s="241">
        <v>-5.4690091224259503E-2</v>
      </c>
      <c r="E113" s="221">
        <v>-7.2878922520467002E-2</v>
      </c>
      <c r="F113" s="91">
        <v>-5.6064743730830501E-2</v>
      </c>
      <c r="G113" s="252">
        <v>-5.5232917052065303E-2</v>
      </c>
      <c r="H113" s="253">
        <v>-8.5891808007133599E-2</v>
      </c>
      <c r="I113" s="12">
        <f t="shared" si="0"/>
        <v>-6.3739937675525091E-2</v>
      </c>
      <c r="J113" s="25">
        <f t="shared" si="1"/>
        <v>-2.9763695820454208E-2</v>
      </c>
      <c r="K113" s="26">
        <f t="shared" si="2"/>
        <v>0.43646643680934682</v>
      </c>
      <c r="L113" s="27">
        <f t="shared" si="3"/>
        <v>-0.18382048978933227</v>
      </c>
      <c r="M113" s="28">
        <f t="shared" si="4"/>
        <v>0.54710636015287817</v>
      </c>
      <c r="N113" s="29">
        <f t="shared" si="5"/>
        <v>0.5133900975735276</v>
      </c>
      <c r="O113" s="30">
        <f t="shared" si="6"/>
        <v>-0.30221003073548758</v>
      </c>
      <c r="P113" s="31">
        <f t="shared" si="7"/>
        <v>0.16352811303174644</v>
      </c>
      <c r="Q113" s="20">
        <v>0.48808661669991099</v>
      </c>
      <c r="R113" s="20">
        <v>0.33070063608865602</v>
      </c>
      <c r="S113" s="20">
        <v>0.426827223288474</v>
      </c>
      <c r="T113" s="20">
        <v>0.29150178185908698</v>
      </c>
      <c r="U113" s="20">
        <v>0.30321724884839202</v>
      </c>
      <c r="V113" s="20">
        <v>0.38084679485135298</v>
      </c>
    </row>
    <row r="114" spans="1:22" ht="15.75" customHeight="1" x14ac:dyDescent="0.3">
      <c r="A114" s="21" t="s">
        <v>152</v>
      </c>
      <c r="B114" s="21" t="s">
        <v>150</v>
      </c>
      <c r="C114" s="118">
        <v>-9.8572835297017894E-2</v>
      </c>
      <c r="D114" s="176">
        <v>-5.8194108492006701E-2</v>
      </c>
      <c r="E114" s="207">
        <v>-7.6894523042141102E-2</v>
      </c>
      <c r="F114" s="109">
        <v>-6.2212762077274698E-2</v>
      </c>
      <c r="G114" s="135">
        <v>-6.02176134506223E-2</v>
      </c>
      <c r="H114" s="183">
        <v>-6.0732718326480903E-2</v>
      </c>
      <c r="I114" s="12">
        <f t="shared" si="0"/>
        <v>-6.9470760114257277E-2</v>
      </c>
      <c r="J114" s="25">
        <f t="shared" si="1"/>
        <v>-0.69275889200439111</v>
      </c>
      <c r="K114" s="26">
        <f t="shared" si="2"/>
        <v>0.35039999720215464</v>
      </c>
      <c r="L114" s="27">
        <f t="shared" si="3"/>
        <v>-0.25757570720913814</v>
      </c>
      <c r="M114" s="28">
        <f t="shared" si="4"/>
        <v>0.37220264341502285</v>
      </c>
      <c r="N114" s="29">
        <f t="shared" si="5"/>
        <v>0.37932457939780939</v>
      </c>
      <c r="O114" s="30">
        <f t="shared" si="6"/>
        <v>0.41015511315658193</v>
      </c>
      <c r="P114" s="31">
        <f t="shared" si="7"/>
        <v>9.3624622326339932E-2</v>
      </c>
      <c r="Q114" s="20">
        <v>0.24347747353104501</v>
      </c>
      <c r="R114" s="20">
        <v>0.36256367259697098</v>
      </c>
      <c r="S114" s="20">
        <v>0.39802267056052698</v>
      </c>
      <c r="T114" s="20">
        <v>0.35439085980183899</v>
      </c>
      <c r="U114" s="20">
        <v>0.35173542066440699</v>
      </c>
      <c r="V114" s="20">
        <v>0.34032481998716702</v>
      </c>
    </row>
    <row r="115" spans="1:22" ht="15.75" customHeight="1" x14ac:dyDescent="0.3">
      <c r="A115" s="21" t="s">
        <v>153</v>
      </c>
      <c r="B115" s="21" t="s">
        <v>150</v>
      </c>
      <c r="C115" s="240">
        <v>-9.6131540265458296E-2</v>
      </c>
      <c r="D115" s="92">
        <v>-4.2409020994582297E-2</v>
      </c>
      <c r="E115" s="142">
        <v>-8.1924591064027705E-2</v>
      </c>
      <c r="F115" s="212">
        <v>-4.4912975436807098E-2</v>
      </c>
      <c r="G115" s="157">
        <v>-5.3729153892724098E-2</v>
      </c>
      <c r="H115" s="63">
        <v>-5.7996115589287099E-2</v>
      </c>
      <c r="I115" s="12">
        <f t="shared" si="0"/>
        <v>-6.2850566207147768E-2</v>
      </c>
      <c r="J115" s="25">
        <f t="shared" si="1"/>
        <v>-0.65317708924714113</v>
      </c>
      <c r="K115" s="26">
        <f t="shared" si="2"/>
        <v>0.73811677368504303</v>
      </c>
      <c r="L115" s="27">
        <f t="shared" si="3"/>
        <v>-0.34996382166131779</v>
      </c>
      <c r="M115" s="28">
        <f t="shared" si="4"/>
        <v>0.86436073593920915</v>
      </c>
      <c r="N115" s="29">
        <f t="shared" si="5"/>
        <v>0.55383444383882785</v>
      </c>
      <c r="O115" s="30">
        <f t="shared" si="6"/>
        <v>0.48764044459747374</v>
      </c>
      <c r="P115" s="31">
        <f t="shared" si="7"/>
        <v>0.27346858119201584</v>
      </c>
      <c r="Q115" s="20">
        <v>0.25609188514062398</v>
      </c>
      <c r="R115" s="20">
        <v>0.22944518624461999</v>
      </c>
      <c r="S115" s="20">
        <v>0.36272783020416699</v>
      </c>
      <c r="T115" s="20">
        <v>0.19287327309859501</v>
      </c>
      <c r="U115" s="20">
        <v>0.28918946555047498</v>
      </c>
      <c r="V115" s="20">
        <v>0.312303790900607</v>
      </c>
    </row>
    <row r="116" spans="1:22" ht="15.75" customHeight="1" x14ac:dyDescent="0.3">
      <c r="A116" s="21" t="s">
        <v>154</v>
      </c>
      <c r="B116" s="21" t="s">
        <v>150</v>
      </c>
      <c r="C116" s="49">
        <v>-9.10048206991831E-2</v>
      </c>
      <c r="D116" s="205">
        <v>-3.4720594756612599E-2</v>
      </c>
      <c r="E116" s="40">
        <v>-6.7383890227649804E-2</v>
      </c>
      <c r="F116" s="117">
        <v>-3.6049743940513801E-2</v>
      </c>
      <c r="G116" s="120">
        <v>-4.4455947743453302E-2</v>
      </c>
      <c r="H116" s="155">
        <v>-2.13609499139506E-2</v>
      </c>
      <c r="I116" s="12">
        <f t="shared" si="0"/>
        <v>-4.9162657880227195E-2</v>
      </c>
      <c r="J116" s="25">
        <f t="shared" si="1"/>
        <v>-0.57005530345691569</v>
      </c>
      <c r="K116" s="26">
        <f t="shared" si="2"/>
        <v>0.92696158292024433</v>
      </c>
      <c r="L116" s="27">
        <f t="shared" si="3"/>
        <v>-8.2892297530650416E-2</v>
      </c>
      <c r="M116" s="28">
        <f t="shared" si="4"/>
        <v>1.1165089963467776</v>
      </c>
      <c r="N116" s="29">
        <f t="shared" si="5"/>
        <v>0.80324124580817968</v>
      </c>
      <c r="O116" s="30">
        <f t="shared" si="6"/>
        <v>1.5249440751771572</v>
      </c>
      <c r="P116" s="31">
        <f t="shared" si="7"/>
        <v>0.61978471654413214</v>
      </c>
      <c r="Q116" s="20">
        <v>0.28365040606758601</v>
      </c>
      <c r="R116" s="20">
        <v>0.176140337355363</v>
      </c>
      <c r="S116" s="20">
        <v>0.466854358710447</v>
      </c>
      <c r="T116" s="20">
        <v>0.13127613294878801</v>
      </c>
      <c r="U116" s="20">
        <v>0.21011408666686901</v>
      </c>
      <c r="V116" s="20">
        <v>6.2979921468623898E-2</v>
      </c>
    </row>
    <row r="117" spans="1:22" ht="15.75" customHeight="1" x14ac:dyDescent="0.3">
      <c r="A117" s="21" t="s">
        <v>155</v>
      </c>
      <c r="B117" s="21" t="s">
        <v>150</v>
      </c>
      <c r="C117" s="180">
        <v>-0.10101413032857701</v>
      </c>
      <c r="D117" s="174">
        <v>-4.7307841252403601E-2</v>
      </c>
      <c r="E117" s="202">
        <v>-8.3530831272697198E-2</v>
      </c>
      <c r="F117" s="129">
        <v>-5.2418600358175901E-2</v>
      </c>
      <c r="G117" s="224">
        <v>-4.8076118312237702E-2</v>
      </c>
      <c r="H117" s="238">
        <v>-4.7800063455548901E-2</v>
      </c>
      <c r="I117" s="12">
        <f t="shared" si="0"/>
        <v>-6.335793082994004E-2</v>
      </c>
      <c r="J117" s="25">
        <f t="shared" si="1"/>
        <v>-0.73234069476163322</v>
      </c>
      <c r="K117" s="26">
        <f t="shared" si="2"/>
        <v>0.61779087753518269</v>
      </c>
      <c r="L117" s="27">
        <f t="shared" si="3"/>
        <v>-0.37946590862923746</v>
      </c>
      <c r="M117" s="28">
        <f t="shared" si="4"/>
        <v>0.65083474736649571</v>
      </c>
      <c r="N117" s="29">
        <f t="shared" si="5"/>
        <v>0.70587522702134542</v>
      </c>
      <c r="O117" s="30">
        <f t="shared" si="6"/>
        <v>0.77633579238531247</v>
      </c>
      <c r="P117" s="31">
        <f t="shared" si="7"/>
        <v>0.27317167348624427</v>
      </c>
      <c r="Q117" s="20">
        <v>0.231206550266186</v>
      </c>
      <c r="R117" s="20">
        <v>0.26765118842128999</v>
      </c>
      <c r="S117" s="20">
        <v>0.35168279817093601</v>
      </c>
      <c r="T117" s="20">
        <v>0.25684891002634103</v>
      </c>
      <c r="U117" s="20">
        <v>0.23937267698015999</v>
      </c>
      <c r="V117" s="20">
        <v>0.217981981876156</v>
      </c>
    </row>
    <row r="118" spans="1:22" ht="15.75" customHeight="1" x14ac:dyDescent="0.3">
      <c r="A118" s="21" t="s">
        <v>156</v>
      </c>
      <c r="B118" s="21" t="s">
        <v>150</v>
      </c>
      <c r="C118" s="71">
        <v>-0.100403806570687</v>
      </c>
      <c r="D118" s="254">
        <v>-3.3734026788023598E-2</v>
      </c>
      <c r="E118" s="104">
        <v>-6.9539633665601203E-2</v>
      </c>
      <c r="F118" s="92">
        <v>-3.7387956135796499E-2</v>
      </c>
      <c r="G118" s="222">
        <v>-5.0136830789853398E-2</v>
      </c>
      <c r="H118" s="124">
        <v>-3.9766810259270202E-2</v>
      </c>
      <c r="I118" s="12">
        <f t="shared" si="0"/>
        <v>-5.516151070153865E-2</v>
      </c>
      <c r="J118" s="25">
        <f t="shared" si="1"/>
        <v>-0.72244524407231892</v>
      </c>
      <c r="K118" s="26">
        <f t="shared" si="2"/>
        <v>0.95119388145042427</v>
      </c>
      <c r="L118" s="27">
        <f t="shared" si="3"/>
        <v>-0.12248720372444166</v>
      </c>
      <c r="M118" s="28">
        <f t="shared" si="4"/>
        <v>1.0784384712524211</v>
      </c>
      <c r="N118" s="29">
        <f t="shared" si="5"/>
        <v>0.65045149325037932</v>
      </c>
      <c r="O118" s="30">
        <f t="shared" si="6"/>
        <v>1.0037927330666432</v>
      </c>
      <c r="P118" s="31">
        <f t="shared" si="7"/>
        <v>0.47315735520385127</v>
      </c>
      <c r="Q118" s="20">
        <v>0.23424153827425601</v>
      </c>
      <c r="R118" s="20">
        <v>0.16991760067956199</v>
      </c>
      <c r="S118" s="20">
        <v>0.45108848231943799</v>
      </c>
      <c r="T118" s="20">
        <v>0.13958703853055399</v>
      </c>
      <c r="U118" s="20">
        <v>0.256972885256532</v>
      </c>
      <c r="V118" s="20">
        <v>0.15690201803798001</v>
      </c>
    </row>
    <row r="119" spans="1:22" ht="15.75" customHeight="1" x14ac:dyDescent="0.3">
      <c r="A119" s="21" t="s">
        <v>157</v>
      </c>
      <c r="B119" s="21" t="s">
        <v>150</v>
      </c>
      <c r="C119" s="140">
        <v>-9.6253605017036198E-2</v>
      </c>
      <c r="D119" s="141">
        <v>-3.7306083226018402E-2</v>
      </c>
      <c r="E119" s="105">
        <v>-8.7842318148599996E-2</v>
      </c>
      <c r="F119" s="138">
        <v>-3.8726168331079398E-2</v>
      </c>
      <c r="G119" s="139">
        <v>-5.15292040855398E-2</v>
      </c>
      <c r="H119" s="42">
        <v>-5.5524345375047503E-2</v>
      </c>
      <c r="I119" s="12">
        <f t="shared" si="0"/>
        <v>-6.1196954030553551E-2</v>
      </c>
      <c r="J119" s="25">
        <f t="shared" si="1"/>
        <v>-0.65515617938500237</v>
      </c>
      <c r="K119" s="26">
        <f t="shared" si="2"/>
        <v>0.86345624884114858</v>
      </c>
      <c r="L119" s="27">
        <f t="shared" si="3"/>
        <v>-0.45865572101681995</v>
      </c>
      <c r="M119" s="28">
        <f t="shared" si="4"/>
        <v>1.0403679461580588</v>
      </c>
      <c r="N119" s="29">
        <f t="shared" si="5"/>
        <v>0.6130030244862098</v>
      </c>
      <c r="O119" s="30">
        <f t="shared" si="6"/>
        <v>0.55762719557634466</v>
      </c>
      <c r="P119" s="31">
        <f t="shared" si="7"/>
        <v>0.32677375244332324</v>
      </c>
      <c r="Q119" s="20">
        <v>0.25545316830985798</v>
      </c>
      <c r="R119" s="20">
        <v>0.19312194374797001</v>
      </c>
      <c r="S119" s="20">
        <v>0.32267000037110699</v>
      </c>
      <c r="T119" s="20">
        <v>0.148248689827055</v>
      </c>
      <c r="U119" s="20">
        <v>0.26923515391382602</v>
      </c>
      <c r="V119" s="20">
        <v>0.28788977999040499</v>
      </c>
    </row>
    <row r="120" spans="1:22" ht="15.75" customHeight="1" x14ac:dyDescent="0.3">
      <c r="A120" s="21" t="s">
        <v>158</v>
      </c>
      <c r="B120" s="21" t="s">
        <v>150</v>
      </c>
      <c r="C120" s="222">
        <v>-6.6103611377275204E-2</v>
      </c>
      <c r="D120" s="82">
        <v>-4.1558531366488301E-2</v>
      </c>
      <c r="E120" s="255">
        <v>-6.9920058978180794E-2</v>
      </c>
      <c r="F120" s="131">
        <v>-4.2915354333703797E-2</v>
      </c>
      <c r="G120" s="198">
        <v>-5.49822898588418E-2</v>
      </c>
      <c r="H120" s="58">
        <v>-6.9560469091622099E-2</v>
      </c>
      <c r="I120" s="12">
        <f t="shared" si="0"/>
        <v>-5.7506719167685343E-2</v>
      </c>
      <c r="J120" s="25">
        <f t="shared" si="1"/>
        <v>-0.16632091533296631</v>
      </c>
      <c r="K120" s="26">
        <f t="shared" si="2"/>
        <v>0.75900668621106093</v>
      </c>
      <c r="L120" s="27">
        <f t="shared" si="3"/>
        <v>-0.12947454011158005</v>
      </c>
      <c r="M120" s="28">
        <f t="shared" si="4"/>
        <v>0.92119065021049917</v>
      </c>
      <c r="N120" s="29">
        <f t="shared" si="5"/>
        <v>0.52013082195107685</v>
      </c>
      <c r="O120" s="30">
        <f t="shared" si="6"/>
        <v>0.16020243108919199</v>
      </c>
      <c r="P120" s="31">
        <f t="shared" si="7"/>
        <v>0.34412252233621371</v>
      </c>
      <c r="Q120" s="20">
        <v>0.433725381858452</v>
      </c>
      <c r="R120" s="20">
        <v>0.223138173647798</v>
      </c>
      <c r="S120" s="20">
        <v>0.44831354433954101</v>
      </c>
      <c r="T120" s="20">
        <v>0.177643290423666</v>
      </c>
      <c r="U120" s="20">
        <v>0.300858244191192</v>
      </c>
      <c r="V120" s="20">
        <v>0.43614211047933599</v>
      </c>
    </row>
    <row r="121" spans="1:22" ht="15.75" customHeight="1" x14ac:dyDescent="0.3">
      <c r="A121" s="21" t="s">
        <v>159</v>
      </c>
      <c r="B121" s="21" t="s">
        <v>150</v>
      </c>
      <c r="C121" s="67">
        <v>-9.7962511539127994E-2</v>
      </c>
      <c r="D121" s="124">
        <v>-3.7680298662379701E-2</v>
      </c>
      <c r="E121" s="203">
        <v>-8.1459626793096998E-2</v>
      </c>
      <c r="F121" s="210">
        <v>-5.1681613931788301E-2</v>
      </c>
      <c r="G121" s="256">
        <v>-5.1835526210590802E-2</v>
      </c>
      <c r="H121" s="131">
        <v>-4.6564178348428999E-2</v>
      </c>
      <c r="I121" s="12">
        <f t="shared" si="0"/>
        <v>-6.1197292580902139E-2</v>
      </c>
      <c r="J121" s="25">
        <f t="shared" si="1"/>
        <v>-0.68286344131507859</v>
      </c>
      <c r="K121" s="26">
        <f t="shared" si="2"/>
        <v>0.85426468732970218</v>
      </c>
      <c r="L121" s="27">
        <f t="shared" si="3"/>
        <v>-0.34142374385481356</v>
      </c>
      <c r="M121" s="28">
        <f t="shared" si="4"/>
        <v>0.67180112350541754</v>
      </c>
      <c r="N121" s="29">
        <f t="shared" si="5"/>
        <v>0.60476436135809275</v>
      </c>
      <c r="O121" s="30">
        <f t="shared" si="6"/>
        <v>0.81132916787475085</v>
      </c>
      <c r="P121" s="31">
        <f t="shared" si="7"/>
        <v>0.31964535914967857</v>
      </c>
      <c r="Q121" s="20">
        <v>0.246599273998238</v>
      </c>
      <c r="R121" s="20">
        <v>0.195660066429967</v>
      </c>
      <c r="S121" s="20">
        <v>0.36594699541363601</v>
      </c>
      <c r="T121" s="20">
        <v>0.25011441969236098</v>
      </c>
      <c r="U121" s="20">
        <v>0.27197171219041399</v>
      </c>
      <c r="V121" s="20">
        <v>0.207781973002958</v>
      </c>
    </row>
    <row r="122" spans="1:22" ht="15.75" customHeight="1" x14ac:dyDescent="0.3">
      <c r="A122" s="21" t="s">
        <v>160</v>
      </c>
      <c r="B122" s="21" t="s">
        <v>150</v>
      </c>
      <c r="C122" s="119">
        <v>-1.72777107460831E-2</v>
      </c>
      <c r="D122" s="42">
        <v>1.2952183863482101E-2</v>
      </c>
      <c r="E122" s="28">
        <v>-1.7252287925487102E-2</v>
      </c>
      <c r="F122" s="217">
        <v>-3.57006451069617E-2</v>
      </c>
      <c r="G122" s="110">
        <v>-5.46898914667477E-2</v>
      </c>
      <c r="H122" s="210">
        <v>-4.1863401065991297E-2</v>
      </c>
      <c r="I122" s="12">
        <f t="shared" si="0"/>
        <v>-2.5638625407964799E-2</v>
      </c>
      <c r="J122" s="25">
        <f t="shared" si="1"/>
        <v>0.62531513981203479</v>
      </c>
      <c r="K122" s="26">
        <f t="shared" si="2"/>
        <v>2.0979108130452828</v>
      </c>
      <c r="L122" s="27">
        <f t="shared" si="3"/>
        <v>0.83788336415239451</v>
      </c>
      <c r="M122" s="28">
        <f t="shared" si="4"/>
        <v>1.1264404376757429</v>
      </c>
      <c r="N122" s="29">
        <f t="shared" si="5"/>
        <v>0.52799500039155123</v>
      </c>
      <c r="O122" s="30">
        <f t="shared" si="6"/>
        <v>0.94442897107563639</v>
      </c>
      <c r="P122" s="31">
        <f t="shared" si="7"/>
        <v>1.0266622876921072</v>
      </c>
      <c r="Q122" s="20">
        <v>0.26517146379060802</v>
      </c>
      <c r="R122" s="70">
        <v>1.7637707151204701E-2</v>
      </c>
      <c r="S122" s="20">
        <v>0.200233454085744</v>
      </c>
      <c r="T122" s="20">
        <v>0.12916545625572001</v>
      </c>
      <c r="U122" s="20">
        <v>0.298116584951235</v>
      </c>
      <c r="V122" s="20">
        <v>0.171640447429104</v>
      </c>
    </row>
    <row r="123" spans="1:22" ht="15.75" customHeight="1" x14ac:dyDescent="0.3">
      <c r="A123" s="21" t="s">
        <v>161</v>
      </c>
      <c r="B123" s="21" t="s">
        <v>150</v>
      </c>
      <c r="C123" s="132">
        <v>-7.1108266191972302E-2</v>
      </c>
      <c r="D123" s="106">
        <v>-5.4451954128393099E-2</v>
      </c>
      <c r="E123" s="257">
        <v>-6.7806585019404994E-2</v>
      </c>
      <c r="F123" s="131">
        <v>-3.27139106421276E-2</v>
      </c>
      <c r="G123" s="190">
        <v>-6.2946665110167499E-2</v>
      </c>
      <c r="H123" s="224">
        <v>-4.92566423317971E-2</v>
      </c>
      <c r="I123" s="12">
        <f t="shared" si="0"/>
        <v>-5.6380670570643769E-2</v>
      </c>
      <c r="J123" s="25">
        <f t="shared" si="1"/>
        <v>-0.24746361098532743</v>
      </c>
      <c r="K123" s="26">
        <f t="shared" si="2"/>
        <v>0.44231561231663391</v>
      </c>
      <c r="L123" s="27">
        <f t="shared" si="3"/>
        <v>-9.0656004627472489E-2</v>
      </c>
      <c r="M123" s="28">
        <f t="shared" si="4"/>
        <v>1.2114094357124299</v>
      </c>
      <c r="N123" s="29">
        <f t="shared" si="5"/>
        <v>0.3059255806200411</v>
      </c>
      <c r="O123" s="30">
        <f t="shared" si="6"/>
        <v>0.73509359984419587</v>
      </c>
      <c r="P123" s="31">
        <f t="shared" si="7"/>
        <v>0.39277076881341683</v>
      </c>
      <c r="Q123" s="20">
        <v>0.40194288174996801</v>
      </c>
      <c r="R123" s="20">
        <v>0.32857596152265001</v>
      </c>
      <c r="S123" s="20">
        <v>0.46375811987603099</v>
      </c>
      <c r="T123" s="20">
        <v>0.112067058531475</v>
      </c>
      <c r="U123" s="20">
        <v>0.379427020146821</v>
      </c>
      <c r="V123" s="20">
        <v>0.230366136874155</v>
      </c>
    </row>
    <row r="124" spans="1:22" ht="15.75" customHeight="1" x14ac:dyDescent="0.3">
      <c r="A124" s="21" t="s">
        <v>162</v>
      </c>
      <c r="B124" s="21" t="s">
        <v>150</v>
      </c>
      <c r="C124" s="93">
        <v>-9.7352187781238095E-2</v>
      </c>
      <c r="D124" s="176">
        <v>-8.8505558837276399E-2</v>
      </c>
      <c r="E124" s="50">
        <v>-0.11396485627906899</v>
      </c>
      <c r="F124" s="212">
        <v>-8.9073977881139799E-2</v>
      </c>
      <c r="G124" s="217">
        <v>-6.6371903417555805E-2</v>
      </c>
      <c r="H124" s="257">
        <v>-0.116479964408348</v>
      </c>
      <c r="I124" s="12">
        <f t="shared" si="0"/>
        <v>-9.5291408100771177E-2</v>
      </c>
      <c r="J124" s="25">
        <f t="shared" si="1"/>
        <v>-0.67296799062576618</v>
      </c>
      <c r="K124" s="26">
        <f t="shared" si="2"/>
        <v>-0.39411648522511583</v>
      </c>
      <c r="L124" s="27">
        <f t="shared" si="3"/>
        <v>-0.93845281960039151</v>
      </c>
      <c r="M124" s="28">
        <f t="shared" si="4"/>
        <v>-0.3919665921746624</v>
      </c>
      <c r="N124" s="29">
        <f t="shared" si="5"/>
        <v>0.21380234746019053</v>
      </c>
      <c r="O124" s="30">
        <f t="shared" si="6"/>
        <v>-1.1682960740989983</v>
      </c>
      <c r="P124" s="31">
        <f t="shared" si="7"/>
        <v>-0.55866626904412386</v>
      </c>
      <c r="Q124" s="20">
        <v>0.249742387969487</v>
      </c>
      <c r="R124" s="20">
        <v>0.34624338845449099</v>
      </c>
      <c r="S124" s="20">
        <v>0.173171668302294</v>
      </c>
      <c r="T124" s="20">
        <v>0.34703964201635601</v>
      </c>
      <c r="U124" s="20">
        <v>0.41506165062236</v>
      </c>
      <c r="V124" s="20">
        <v>0.120529157498509</v>
      </c>
    </row>
    <row r="125" spans="1:22" ht="15.75" customHeight="1" x14ac:dyDescent="0.3">
      <c r="A125" s="21" t="s">
        <v>163</v>
      </c>
      <c r="B125" s="21" t="s">
        <v>150</v>
      </c>
      <c r="C125" s="25">
        <v>2.0085200032376898E-3</v>
      </c>
      <c r="D125" s="171">
        <v>-6.1668229760706E-3</v>
      </c>
      <c r="E125" s="109">
        <v>-6.7905918295467398E-3</v>
      </c>
      <c r="F125" s="125">
        <v>-5.0508253963460599E-2</v>
      </c>
      <c r="G125" s="57">
        <v>-4.9802661198888702E-2</v>
      </c>
      <c r="H125" s="124">
        <v>-6.3712084209715997E-2</v>
      </c>
      <c r="I125" s="12">
        <f t="shared" si="0"/>
        <v>-2.9161982362407492E-2</v>
      </c>
      <c r="J125" s="25">
        <f t="shared" si="1"/>
        <v>0.93801138159430875</v>
      </c>
      <c r="K125" s="26">
        <f t="shared" si="2"/>
        <v>1.6283055794604084</v>
      </c>
      <c r="L125" s="27">
        <f t="shared" si="3"/>
        <v>1.0300351147987297</v>
      </c>
      <c r="M125" s="28">
        <f t="shared" si="4"/>
        <v>0.70518180130554509</v>
      </c>
      <c r="N125" s="29">
        <f t="shared" si="5"/>
        <v>0.65943912575377894</v>
      </c>
      <c r="O125" s="30">
        <f t="shared" si="6"/>
        <v>0.32579608295883949</v>
      </c>
      <c r="P125" s="31">
        <f t="shared" si="7"/>
        <v>0.88112818097860168</v>
      </c>
      <c r="Q125" s="20">
        <v>0.17328511839378299</v>
      </c>
      <c r="R125" s="20">
        <v>5.11347130380857E-2</v>
      </c>
      <c r="S125" s="20">
        <v>0.15066032809244601</v>
      </c>
      <c r="T125" s="20">
        <v>0.23958873612423201</v>
      </c>
      <c r="U125" s="20">
        <v>0.25407377718429203</v>
      </c>
      <c r="V125" s="20">
        <v>0.371862168967172</v>
      </c>
    </row>
    <row r="126" spans="1:22" ht="15.75" customHeight="1" x14ac:dyDescent="0.3">
      <c r="A126" s="21" t="s">
        <v>164</v>
      </c>
      <c r="B126" s="21" t="s">
        <v>150</v>
      </c>
      <c r="C126" s="62">
        <v>-8.9173849425513402E-2</v>
      </c>
      <c r="D126" s="180">
        <v>-5.2444798606091303E-2</v>
      </c>
      <c r="E126" s="247">
        <v>-6.7848854498580496E-2</v>
      </c>
      <c r="F126" s="102">
        <v>-3.80279706639753E-2</v>
      </c>
      <c r="G126" s="258">
        <v>-5.5427849313461397E-2</v>
      </c>
      <c r="H126" s="131">
        <v>-6.1306522126214999E-2</v>
      </c>
      <c r="I126" s="12">
        <f t="shared" si="0"/>
        <v>-6.0704974105639485E-2</v>
      </c>
      <c r="J126" s="25">
        <f t="shared" si="1"/>
        <v>-0.54036895138897822</v>
      </c>
      <c r="K126" s="26">
        <f t="shared" si="2"/>
        <v>0.49161580587803533</v>
      </c>
      <c r="L126" s="27">
        <f t="shared" si="3"/>
        <v>-9.1432375337154398E-2</v>
      </c>
      <c r="M126" s="28">
        <f t="shared" si="4"/>
        <v>1.0602308288159863</v>
      </c>
      <c r="N126" s="29">
        <f t="shared" si="5"/>
        <v>0.50814731194654394</v>
      </c>
      <c r="O126" s="30">
        <f t="shared" si="6"/>
        <v>0.39390818882220391</v>
      </c>
      <c r="P126" s="31">
        <f t="shared" si="7"/>
        <v>0.30368346812277275</v>
      </c>
      <c r="Q126" s="20">
        <v>0.29382590741064801</v>
      </c>
      <c r="R126" s="20">
        <v>0.31089330176170599</v>
      </c>
      <c r="S126" s="20">
        <v>0.46344861356460598</v>
      </c>
      <c r="T126" s="20">
        <v>0.14368568386331401</v>
      </c>
      <c r="U126" s="20">
        <v>0.30505772739739501</v>
      </c>
      <c r="V126" s="20">
        <v>0.34632050530861203</v>
      </c>
    </row>
    <row r="127" spans="1:22" ht="15.75" customHeight="1" x14ac:dyDescent="0.3">
      <c r="A127" s="21" t="s">
        <v>165</v>
      </c>
      <c r="B127" s="21" t="s">
        <v>150</v>
      </c>
      <c r="C127" s="109">
        <v>-6.0000373798376201E-2</v>
      </c>
      <c r="D127" s="101">
        <v>-6.5304201782872398E-2</v>
      </c>
      <c r="E127" s="189">
        <v>-7.74862957505984E-2</v>
      </c>
      <c r="F127" s="216">
        <v>-5.7984787315366701E-2</v>
      </c>
      <c r="G127" s="257">
        <v>-5.7321476995594797E-2</v>
      </c>
      <c r="H127" s="133">
        <v>-8.8275300713721694E-2</v>
      </c>
      <c r="I127" s="12">
        <f t="shared" si="0"/>
        <v>-6.7728739392755033E-2</v>
      </c>
      <c r="J127" s="25">
        <f t="shared" si="1"/>
        <v>-6.7366408439841333E-2</v>
      </c>
      <c r="K127" s="26">
        <f t="shared" si="2"/>
        <v>0.17576032848464759</v>
      </c>
      <c r="L127" s="27">
        <f t="shared" si="3"/>
        <v>-0.26844489714468961</v>
      </c>
      <c r="M127" s="28">
        <f t="shared" si="4"/>
        <v>0.49248343284357948</v>
      </c>
      <c r="N127" s="29">
        <f t="shared" si="5"/>
        <v>0.45721739442727627</v>
      </c>
      <c r="O127" s="30">
        <f t="shared" si="6"/>
        <v>-0.36969725489368205</v>
      </c>
      <c r="P127" s="31">
        <f t="shared" si="7"/>
        <v>6.9992099212881714E-2</v>
      </c>
      <c r="Q127" s="20">
        <v>0.47305206157757901</v>
      </c>
      <c r="R127" s="20">
        <v>0.43000181200785198</v>
      </c>
      <c r="S127" s="20">
        <v>0.39382041317455302</v>
      </c>
      <c r="T127" s="20">
        <v>0.31058582901954801</v>
      </c>
      <c r="U127" s="20">
        <v>0.323188104454397</v>
      </c>
      <c r="V127" s="20">
        <v>0.35532669635412301</v>
      </c>
    </row>
    <row r="128" spans="1:22" ht="15.75" customHeight="1" x14ac:dyDescent="0.3">
      <c r="A128" s="21" t="s">
        <v>166</v>
      </c>
      <c r="B128" s="21" t="s">
        <v>150</v>
      </c>
      <c r="C128" s="112">
        <v>-9.2469597718118898E-2</v>
      </c>
      <c r="D128" s="25">
        <v>-5.1322152297007297E-2</v>
      </c>
      <c r="E128" s="144">
        <v>-8.5221610439717904E-2</v>
      </c>
      <c r="F128" s="140">
        <v>-4.6697258363850899E-2</v>
      </c>
      <c r="G128" s="247">
        <v>-4.4623032538935702E-2</v>
      </c>
      <c r="H128" s="230">
        <v>-5.79519768354613E-2</v>
      </c>
      <c r="I128" s="12">
        <f t="shared" si="0"/>
        <v>-6.3047604698848667E-2</v>
      </c>
      <c r="J128" s="25">
        <f t="shared" si="1"/>
        <v>-0.59380438511126621</v>
      </c>
      <c r="K128" s="26">
        <f t="shared" si="2"/>
        <v>0.5191904904123773</v>
      </c>
      <c r="L128" s="27">
        <f t="shared" si="3"/>
        <v>-0.41052073701652469</v>
      </c>
      <c r="M128" s="28">
        <f t="shared" si="4"/>
        <v>0.81360003581339457</v>
      </c>
      <c r="N128" s="29">
        <f t="shared" si="5"/>
        <v>0.79874742955647848</v>
      </c>
      <c r="O128" s="30">
        <f t="shared" si="6"/>
        <v>0.48889020800781335</v>
      </c>
      <c r="P128" s="31">
        <f t="shared" si="7"/>
        <v>0.2693505069437121</v>
      </c>
      <c r="Q128" s="20">
        <v>0.27563349701393097</v>
      </c>
      <c r="R128" s="20">
        <v>0.301186828322414</v>
      </c>
      <c r="S128" s="20">
        <v>0.34019034831863898</v>
      </c>
      <c r="T128" s="20">
        <v>0.207129938401139</v>
      </c>
      <c r="U128" s="20">
        <v>0.211416475262138</v>
      </c>
      <c r="V128" s="20">
        <v>0.31186006728717203</v>
      </c>
    </row>
    <row r="129" spans="1:22" ht="15.75" customHeight="1" x14ac:dyDescent="0.3">
      <c r="A129" s="21" t="s">
        <v>167</v>
      </c>
      <c r="B129" s="21" t="s">
        <v>150</v>
      </c>
      <c r="C129" s="74">
        <v>-7.9164539796119093E-2</v>
      </c>
      <c r="D129" s="67">
        <v>-3.4074222639261201E-2</v>
      </c>
      <c r="E129" s="139">
        <v>-7.7021331479667707E-2</v>
      </c>
      <c r="F129" s="194">
        <v>-4.2197762286957902E-2</v>
      </c>
      <c r="G129" s="259">
        <v>-5.0331763051249499E-2</v>
      </c>
      <c r="H129" s="260">
        <v>-3.6721236245296503E-2</v>
      </c>
      <c r="I129" s="12">
        <f t="shared" si="0"/>
        <v>-5.3251809249758648E-2</v>
      </c>
      <c r="J129" s="25">
        <f t="shared" si="1"/>
        <v>-0.37808356008425414</v>
      </c>
      <c r="K129" s="26">
        <f t="shared" si="2"/>
        <v>0.94283791644001702</v>
      </c>
      <c r="L129" s="27">
        <f t="shared" si="3"/>
        <v>-0.25990481933818566</v>
      </c>
      <c r="M129" s="28">
        <f t="shared" si="4"/>
        <v>0.94160527960892515</v>
      </c>
      <c r="N129" s="29">
        <f t="shared" si="5"/>
        <v>0.64520870762339555</v>
      </c>
      <c r="O129" s="30">
        <f t="shared" si="6"/>
        <v>1.0900264083798925</v>
      </c>
      <c r="P129" s="31">
        <f t="shared" si="7"/>
        <v>0.49694832210496509</v>
      </c>
      <c r="Q129" s="20">
        <v>0.35219762340153998</v>
      </c>
      <c r="R129" s="20">
        <v>0.172047263100742</v>
      </c>
      <c r="S129" s="20">
        <v>0.39712117224485999</v>
      </c>
      <c r="T129" s="20">
        <v>0.17236285794599299</v>
      </c>
      <c r="U129" s="20">
        <v>0.25867194470534599</v>
      </c>
      <c r="V129" s="20">
        <v>0.13702032684407101</v>
      </c>
    </row>
    <row r="130" spans="1:22" ht="15.75" customHeight="1" x14ac:dyDescent="0.3">
      <c r="A130" s="21" t="s">
        <v>168</v>
      </c>
      <c r="B130" s="21" t="s">
        <v>150</v>
      </c>
      <c r="C130" s="109">
        <v>-5.3530941964743201E-2</v>
      </c>
      <c r="D130" s="261">
        <v>-2.8835206530202301E-2</v>
      </c>
      <c r="E130" s="23">
        <v>-4.8278085640316298E-2</v>
      </c>
      <c r="F130" s="177">
        <v>-2.5014341924340999E-2</v>
      </c>
      <c r="G130" s="262">
        <v>-4.9384949210182799E-2</v>
      </c>
      <c r="H130" s="39">
        <v>-3.0850781986477501E-2</v>
      </c>
      <c r="I130" s="12">
        <f t="shared" si="0"/>
        <v>-3.9315717876043849E-2</v>
      </c>
      <c r="J130" s="25">
        <f t="shared" si="1"/>
        <v>3.7525368866872071E-2</v>
      </c>
      <c r="K130" s="26">
        <f t="shared" si="2"/>
        <v>1.0715197776002845</v>
      </c>
      <c r="L130" s="27">
        <f t="shared" si="3"/>
        <v>0.26802726324568704</v>
      </c>
      <c r="M130" s="28">
        <f t="shared" si="4"/>
        <v>1.4304528916901229</v>
      </c>
      <c r="N130" s="29">
        <f t="shared" si="5"/>
        <v>0.67067366638302939</v>
      </c>
      <c r="O130" s="30">
        <f t="shared" si="6"/>
        <v>1.2562449419547097</v>
      </c>
      <c r="P130" s="31">
        <f t="shared" si="7"/>
        <v>0.78907398495678427</v>
      </c>
      <c r="Q130" s="20">
        <v>0.48498120230944602</v>
      </c>
      <c r="R130" s="20">
        <v>0.14113501178893001</v>
      </c>
      <c r="S130" s="20">
        <v>0.39398165443648803</v>
      </c>
      <c r="T130" s="20">
        <v>7.5584985442346403E-2</v>
      </c>
      <c r="U130" s="20">
        <v>0.25047416540836498</v>
      </c>
      <c r="V130" s="20">
        <v>0.103726615238633</v>
      </c>
    </row>
    <row r="131" spans="1:22" ht="15.75" customHeight="1" x14ac:dyDescent="0.3">
      <c r="A131" s="21" t="s">
        <v>169</v>
      </c>
      <c r="B131" s="21" t="s">
        <v>150</v>
      </c>
      <c r="C131" s="28">
        <v>-9.4910892749678497E-2</v>
      </c>
      <c r="D131" s="263">
        <v>-6.8434003614258304E-2</v>
      </c>
      <c r="E131" s="72">
        <v>-0.10546869096479</v>
      </c>
      <c r="F131" s="264">
        <v>-6.7158328885928598E-2</v>
      </c>
      <c r="G131" s="249">
        <v>-5.0665932642214299E-2</v>
      </c>
      <c r="H131" s="185">
        <v>-7.8785468641194803E-2</v>
      </c>
      <c r="I131" s="12">
        <f t="shared" si="0"/>
        <v>-7.7570552916344085E-2</v>
      </c>
      <c r="J131" s="25">
        <f t="shared" si="1"/>
        <v>-0.63338618786851619</v>
      </c>
      <c r="K131" s="26">
        <f t="shared" si="2"/>
        <v>9.8885450388901661E-2</v>
      </c>
      <c r="L131" s="27">
        <f t="shared" si="3"/>
        <v>-0.78240230695427404</v>
      </c>
      <c r="M131" s="28">
        <f t="shared" si="4"/>
        <v>0.23150722458804007</v>
      </c>
      <c r="N131" s="29">
        <f t="shared" si="5"/>
        <v>0.63622107511999304</v>
      </c>
      <c r="O131" s="30">
        <f t="shared" si="6"/>
        <v>-0.10099812167123488</v>
      </c>
      <c r="P131" s="31">
        <f t="shared" si="7"/>
        <v>-9.1695477732848377E-2</v>
      </c>
      <c r="Q131" s="20">
        <v>0.26252456953134801</v>
      </c>
      <c r="R131" s="20">
        <v>0.46047853907356801</v>
      </c>
      <c r="S131" s="20">
        <v>0.216193283518088</v>
      </c>
      <c r="T131" s="20">
        <v>0.40814874789488298</v>
      </c>
      <c r="U131" s="20">
        <v>0.26159809006142498</v>
      </c>
      <c r="V131" s="20">
        <v>0.45963702639759102</v>
      </c>
    </row>
    <row r="132" spans="1:22" ht="15.75" customHeight="1" x14ac:dyDescent="0.3">
      <c r="A132" s="21" t="s">
        <v>170</v>
      </c>
      <c r="B132" s="21" t="s">
        <v>150</v>
      </c>
      <c r="C132" s="167">
        <v>-4.8160092895312097E-2</v>
      </c>
      <c r="D132" s="184">
        <v>-3.7510200736760903E-2</v>
      </c>
      <c r="E132" s="263">
        <v>-6.8271549290335701E-2</v>
      </c>
      <c r="F132" s="30">
        <v>-3.69612797836774E-2</v>
      </c>
      <c r="G132" s="228">
        <v>-5.6513900484096699E-2</v>
      </c>
      <c r="H132" s="188">
        <v>-5.0757359961871203E-2</v>
      </c>
      <c r="I132" s="12">
        <f t="shared" si="0"/>
        <v>-4.969573052534234E-2</v>
      </c>
      <c r="J132" s="25">
        <f t="shared" si="1"/>
        <v>0.12460533493282175</v>
      </c>
      <c r="K132" s="26">
        <f t="shared" si="2"/>
        <v>0.85844266983490569</v>
      </c>
      <c r="L132" s="27">
        <f t="shared" si="3"/>
        <v>-9.9196082433976721E-2</v>
      </c>
      <c r="M132" s="28">
        <f t="shared" si="4"/>
        <v>1.0905768995433747</v>
      </c>
      <c r="N132" s="29">
        <f t="shared" si="5"/>
        <v>0.4789375063104942</v>
      </c>
      <c r="O132" s="30">
        <f t="shared" si="6"/>
        <v>0.69260164389273682</v>
      </c>
      <c r="P132" s="31">
        <f t="shared" si="7"/>
        <v>0.52432799534672603</v>
      </c>
      <c r="Q132" s="20">
        <v>0.45024703270404498</v>
      </c>
      <c r="R132" s="20">
        <v>0.19450387328590801</v>
      </c>
      <c r="S132" s="20">
        <v>0.460354797888749</v>
      </c>
      <c r="T132" s="20">
        <v>0.13689920147517901</v>
      </c>
      <c r="U132" s="20">
        <v>0.315401258402912</v>
      </c>
      <c r="V132" s="20">
        <v>0.243526914410676</v>
      </c>
    </row>
    <row r="133" spans="1:22" ht="15.75" customHeight="1" x14ac:dyDescent="0.3">
      <c r="A133" s="21" t="s">
        <v>171</v>
      </c>
      <c r="B133" s="21" t="s">
        <v>150</v>
      </c>
      <c r="C133" s="118">
        <v>-8.2704417591880505E-2</v>
      </c>
      <c r="D133" s="65">
        <v>-3.2509321723568303E-2</v>
      </c>
      <c r="E133" s="236">
        <v>-4.7855390848561101E-2</v>
      </c>
      <c r="F133" s="79">
        <v>-2.6216793462131301E-2</v>
      </c>
      <c r="G133" s="265">
        <v>-4.6822982346120097E-2</v>
      </c>
      <c r="H133" s="128">
        <v>-5.0624943700394102E-2</v>
      </c>
      <c r="I133" s="12">
        <f t="shared" si="0"/>
        <v>-4.7788974945442569E-2</v>
      </c>
      <c r="J133" s="25">
        <f t="shared" si="1"/>
        <v>-0.43547717408226649</v>
      </c>
      <c r="K133" s="26">
        <f t="shared" si="2"/>
        <v>0.98127535548788858</v>
      </c>
      <c r="L133" s="27">
        <f t="shared" si="3"/>
        <v>0.27579097034250927</v>
      </c>
      <c r="M133" s="28">
        <f t="shared" si="4"/>
        <v>1.3962445937792505</v>
      </c>
      <c r="N133" s="29">
        <f t="shared" si="5"/>
        <v>0.73957884890909387</v>
      </c>
      <c r="O133" s="30">
        <f t="shared" si="6"/>
        <v>0.69635093412374716</v>
      </c>
      <c r="P133" s="31">
        <f t="shared" si="7"/>
        <v>0.6089605880933705</v>
      </c>
      <c r="Q133" s="20">
        <v>0.331060521587764</v>
      </c>
      <c r="R133" s="20">
        <v>0.16239145877858599</v>
      </c>
      <c r="S133" s="20">
        <v>0.39098722027732202</v>
      </c>
      <c r="T133" s="20">
        <v>8.05944362869154E-2</v>
      </c>
      <c r="U133" s="20">
        <v>0.229000535014205</v>
      </c>
      <c r="V133" s="20">
        <v>0.24234956619614501</v>
      </c>
    </row>
    <row r="134" spans="1:22" ht="15.75" customHeight="1" x14ac:dyDescent="0.3">
      <c r="A134" s="21" t="s">
        <v>172</v>
      </c>
      <c r="B134" s="21" t="s">
        <v>150</v>
      </c>
      <c r="C134" s="266">
        <v>-7.5746726751935597E-2</v>
      </c>
      <c r="D134" s="63">
        <v>-3.3461870107033602E-2</v>
      </c>
      <c r="E134" s="267">
        <v>-6.7510698665176394E-2</v>
      </c>
      <c r="F134" s="177">
        <v>-2.2687016367327398E-2</v>
      </c>
      <c r="G134" s="268">
        <v>-4.3063574447766997E-2</v>
      </c>
      <c r="H134" s="248">
        <v>-3.1821834570643102E-2</v>
      </c>
      <c r="I134" s="12">
        <f t="shared" si="0"/>
        <v>-4.5715286818313848E-2</v>
      </c>
      <c r="J134" s="25">
        <f t="shared" si="1"/>
        <v>-0.32266903622410326</v>
      </c>
      <c r="K134" s="26">
        <f t="shared" si="2"/>
        <v>0.95787865345874801</v>
      </c>
      <c r="L134" s="27">
        <f t="shared" si="3"/>
        <v>-8.5221409659697656E-2</v>
      </c>
      <c r="M134" s="28">
        <f t="shared" si="4"/>
        <v>1.4966625005498799</v>
      </c>
      <c r="N134" s="29">
        <f t="shared" si="5"/>
        <v>0.84068971457234654</v>
      </c>
      <c r="O134" s="30">
        <f t="shared" si="6"/>
        <v>1.2287501469272948</v>
      </c>
      <c r="P134" s="31">
        <f t="shared" si="7"/>
        <v>0.68601509493741142</v>
      </c>
      <c r="Q134" s="20">
        <v>0.37304946911417503</v>
      </c>
      <c r="R134" s="20">
        <v>0.16822609305504799</v>
      </c>
      <c r="S134" s="20">
        <v>0.46592526782530402</v>
      </c>
      <c r="T134" s="20">
        <v>6.65678931424213E-2</v>
      </c>
      <c r="U134" s="20">
        <v>0.199445440807791</v>
      </c>
      <c r="V134" s="20">
        <v>0.10878615487714199</v>
      </c>
    </row>
    <row r="135" spans="1:22" ht="15.75" customHeight="1" x14ac:dyDescent="0.3">
      <c r="A135" s="21" t="s">
        <v>173</v>
      </c>
      <c r="B135" s="21" t="s">
        <v>150</v>
      </c>
      <c r="C135" s="110">
        <v>-7.9896928305586895E-2</v>
      </c>
      <c r="D135" s="268">
        <v>-4.3089412697057398E-2</v>
      </c>
      <c r="E135" s="269">
        <v>-6.0282617726163099E-2</v>
      </c>
      <c r="F135" s="163">
        <v>-3.1511459104337301E-2</v>
      </c>
      <c r="G135" s="230">
        <v>-5.87695452231086E-2</v>
      </c>
      <c r="H135" s="131">
        <v>-6.0070637019095201E-2</v>
      </c>
      <c r="I135" s="12">
        <f t="shared" si="0"/>
        <v>-5.5603433345891413E-2</v>
      </c>
      <c r="J135" s="25">
        <f t="shared" si="1"/>
        <v>-0.38995810091142785</v>
      </c>
      <c r="K135" s="26">
        <f t="shared" si="2"/>
        <v>0.72140484366423108</v>
      </c>
      <c r="L135" s="27">
        <f t="shared" si="3"/>
        <v>4.7537981695951338E-2</v>
      </c>
      <c r="M135" s="28">
        <f t="shared" si="4"/>
        <v>1.2456177336233025</v>
      </c>
      <c r="N135" s="29">
        <f t="shared" si="5"/>
        <v>0.41827098691254144</v>
      </c>
      <c r="O135" s="30">
        <f t="shared" si="6"/>
        <v>0.42890156431163934</v>
      </c>
      <c r="P135" s="31">
        <f t="shared" si="7"/>
        <v>0.41196250154937303</v>
      </c>
      <c r="Q135" s="20">
        <v>0.34778413552732701</v>
      </c>
      <c r="R135" s="20">
        <v>0.23456191099486101</v>
      </c>
      <c r="S135" s="20">
        <v>0.480976567798792</v>
      </c>
      <c r="T135" s="20">
        <v>0.10566158928090701</v>
      </c>
      <c r="U135" s="20">
        <v>0.33734471268912802</v>
      </c>
      <c r="V135" s="20">
        <v>0.33345662810656301</v>
      </c>
    </row>
    <row r="136" spans="1:22" ht="15.75" customHeight="1" x14ac:dyDescent="0.3">
      <c r="A136" s="21" t="s">
        <v>174</v>
      </c>
      <c r="B136" s="21" t="s">
        <v>150</v>
      </c>
      <c r="C136" s="157">
        <v>-4.8648351901624101E-2</v>
      </c>
      <c r="D136" s="73">
        <v>-4.5436764070596901E-2</v>
      </c>
      <c r="E136" s="270">
        <v>-6.3495098143502293E-2</v>
      </c>
      <c r="F136" s="152">
        <v>-2.76713719352648E-2</v>
      </c>
      <c r="G136" s="131">
        <v>-4.9384949210182799E-2</v>
      </c>
      <c r="H136" s="271">
        <v>-5.0801498715696898E-2</v>
      </c>
      <c r="I136" s="12">
        <f t="shared" si="0"/>
        <v>-4.75730056628113E-2</v>
      </c>
      <c r="J136" s="25">
        <f t="shared" si="1"/>
        <v>0.11668897438137038</v>
      </c>
      <c r="K136" s="26">
        <f t="shared" si="2"/>
        <v>0.6637486850924198</v>
      </c>
      <c r="L136" s="27">
        <f t="shared" si="3"/>
        <v>-1.146619223989178E-2</v>
      </c>
      <c r="M136" s="28">
        <f t="shared" si="4"/>
        <v>1.3548635882419027</v>
      </c>
      <c r="N136" s="29">
        <f t="shared" si="5"/>
        <v>0.67067366638302939</v>
      </c>
      <c r="O136" s="30">
        <f t="shared" si="6"/>
        <v>0.69135188048240015</v>
      </c>
      <c r="P136" s="31">
        <f t="shared" si="7"/>
        <v>0.58097676705687185</v>
      </c>
      <c r="Q136" s="20">
        <v>0.453393002684919</v>
      </c>
      <c r="R136" s="20">
        <v>0.25268976889348699</v>
      </c>
      <c r="S136" s="20">
        <v>0.49540989672228702</v>
      </c>
      <c r="T136" s="20">
        <v>8.6984627556445898E-2</v>
      </c>
      <c r="U136" s="20">
        <v>0.25047416540836498</v>
      </c>
      <c r="V136" s="20">
        <v>0.24392004925355801</v>
      </c>
    </row>
    <row r="137" spans="1:22" ht="15.75" customHeight="1" x14ac:dyDescent="0.3">
      <c r="A137" s="21" t="s">
        <v>175</v>
      </c>
      <c r="B137" s="21" t="s">
        <v>150</v>
      </c>
      <c r="C137" s="92">
        <v>-9.7474252532816094E-2</v>
      </c>
      <c r="D137" s="154">
        <v>-7.0781354987797696E-2</v>
      </c>
      <c r="E137" s="84">
        <v>-9.95086944010425E-2</v>
      </c>
      <c r="F137" s="209">
        <v>-7.8523435356011598E-2</v>
      </c>
      <c r="G137" s="272">
        <v>-8.9234672932724898E-2</v>
      </c>
      <c r="H137" s="76">
        <v>-8.5229726699748001E-2</v>
      </c>
      <c r="I137" s="12">
        <f t="shared" si="0"/>
        <v>-8.6792022818356795E-2</v>
      </c>
      <c r="J137" s="25">
        <f t="shared" si="1"/>
        <v>-0.67494708076362897</v>
      </c>
      <c r="K137" s="26">
        <f t="shared" si="2"/>
        <v>4.1229291817093151E-2</v>
      </c>
      <c r="L137" s="27">
        <f t="shared" si="3"/>
        <v>-0.67293403688909537</v>
      </c>
      <c r="M137" s="28">
        <f t="shared" si="4"/>
        <v>-9.1816365343769135E-2</v>
      </c>
      <c r="N137" s="29">
        <f t="shared" si="5"/>
        <v>-0.40110150964742947</v>
      </c>
      <c r="O137" s="30">
        <f t="shared" si="6"/>
        <v>-0.28346357958043311</v>
      </c>
      <c r="P137" s="31">
        <f t="shared" si="7"/>
        <v>-0.34717221340121052</v>
      </c>
      <c r="Q137" s="20">
        <v>0.249112068010194</v>
      </c>
      <c r="R137" s="20">
        <v>0.48349958694163098</v>
      </c>
      <c r="S137" s="20">
        <v>0.249753209271774</v>
      </c>
      <c r="T137" s="20">
        <v>0.46329554108259202</v>
      </c>
      <c r="U137" s="20">
        <v>0.34366105594235002</v>
      </c>
      <c r="V137" s="20">
        <v>0.38803425763074201</v>
      </c>
    </row>
    <row r="138" spans="1:22" ht="15.75" customHeight="1" x14ac:dyDescent="0.3">
      <c r="A138" s="21" t="s">
        <v>176</v>
      </c>
      <c r="B138" s="21" t="s">
        <v>150</v>
      </c>
      <c r="C138" s="273">
        <v>-8.5511906878174004E-2</v>
      </c>
      <c r="D138" s="274">
        <v>-2.58414830393114E-2</v>
      </c>
      <c r="E138" s="212">
        <v>-6.8356088248686706E-2</v>
      </c>
      <c r="F138" s="274">
        <v>-3.3644840864933002E-2</v>
      </c>
      <c r="G138" s="60">
        <v>-5.23089331311241E-2</v>
      </c>
      <c r="H138" s="240">
        <v>-3.8133676367719103E-2</v>
      </c>
      <c r="I138" s="12">
        <f t="shared" si="0"/>
        <v>-5.0632821421658043E-2</v>
      </c>
      <c r="J138" s="25">
        <f t="shared" si="1"/>
        <v>-0.4809962472531033</v>
      </c>
      <c r="K138" s="26">
        <f t="shared" si="2"/>
        <v>1.1450522696918684</v>
      </c>
      <c r="L138" s="27">
        <f t="shared" si="3"/>
        <v>-0.10074882385334052</v>
      </c>
      <c r="M138" s="28">
        <f t="shared" si="4"/>
        <v>1.1849255921685284</v>
      </c>
      <c r="N138" s="29">
        <f t="shared" si="5"/>
        <v>0.59203188197827716</v>
      </c>
      <c r="O138" s="30">
        <f t="shared" si="6"/>
        <v>1.0500339792491098</v>
      </c>
      <c r="P138" s="31">
        <f t="shared" si="7"/>
        <v>0.56504977533022338</v>
      </c>
      <c r="Q138" s="20">
        <v>0.314667347641574</v>
      </c>
      <c r="R138" s="20">
        <v>0.12527360571443399</v>
      </c>
      <c r="S138" s="20">
        <v>0.45973631659636399</v>
      </c>
      <c r="T138" s="20">
        <v>0.117213380261141</v>
      </c>
      <c r="U138" s="20">
        <v>0.27622796865100202</v>
      </c>
      <c r="V138" s="20">
        <v>0.14601618468063499</v>
      </c>
    </row>
    <row r="139" spans="1:22" ht="15.75" customHeight="1" x14ac:dyDescent="0.3">
      <c r="A139" s="21" t="s">
        <v>177</v>
      </c>
      <c r="B139" s="21" t="s">
        <v>150</v>
      </c>
      <c r="C139" s="208">
        <v>-7.15965251982843E-2</v>
      </c>
      <c r="D139" s="125">
        <v>-4.27151972606961E-2</v>
      </c>
      <c r="E139" s="260">
        <v>-7.4020198458205996E-2</v>
      </c>
      <c r="F139" s="106">
        <v>-3.3916362179918003E-2</v>
      </c>
      <c r="G139" s="188">
        <v>-4.8967237221477E-2</v>
      </c>
      <c r="H139" s="132">
        <v>-3.12038920170832E-2</v>
      </c>
      <c r="I139" s="12">
        <f t="shared" si="0"/>
        <v>-5.0403235389277434E-2</v>
      </c>
      <c r="J139" s="25">
        <f t="shared" si="1"/>
        <v>-0.25537997153677872</v>
      </c>
      <c r="K139" s="26">
        <f t="shared" si="2"/>
        <v>0.73059640517567748</v>
      </c>
      <c r="L139" s="27">
        <f t="shared" si="3"/>
        <v>-0.20478249895075151</v>
      </c>
      <c r="M139" s="28">
        <f t="shared" si="4"/>
        <v>1.1772011378015546</v>
      </c>
      <c r="N139" s="29">
        <f t="shared" si="5"/>
        <v>0.68190820701227695</v>
      </c>
      <c r="O139" s="30">
        <f t="shared" si="6"/>
        <v>1.2462468346720128</v>
      </c>
      <c r="P139" s="31">
        <f t="shared" si="7"/>
        <v>0.56263168569566524</v>
      </c>
      <c r="Q139" s="20">
        <v>0.39887304356333197</v>
      </c>
      <c r="R139" s="20">
        <v>0.23173993519039801</v>
      </c>
      <c r="S139" s="20">
        <v>0.41859374926368498</v>
      </c>
      <c r="T139" s="20">
        <v>0.118745443138858</v>
      </c>
      <c r="U139" s="20">
        <v>0.24690176038478201</v>
      </c>
      <c r="V139" s="20">
        <v>0.105546322431707</v>
      </c>
    </row>
    <row r="140" spans="1:22" ht="15.75" customHeight="1" x14ac:dyDescent="0.3">
      <c r="A140" s="21" t="s">
        <v>178</v>
      </c>
      <c r="B140" s="21" t="s">
        <v>150</v>
      </c>
      <c r="C140" s="63">
        <v>-7.8676280789807193E-2</v>
      </c>
      <c r="D140" s="269">
        <v>-4.6525390794557198E-2</v>
      </c>
      <c r="E140" s="36">
        <v>-8.0529698251235599E-2</v>
      </c>
      <c r="F140" s="205">
        <v>-5.6142321249397699E-2</v>
      </c>
      <c r="G140" s="184">
        <v>-4.8465982835029897E-2</v>
      </c>
      <c r="H140" s="34">
        <v>-5.5568484128873198E-2</v>
      </c>
      <c r="I140" s="12">
        <f t="shared" si="0"/>
        <v>-6.0984693008150133E-2</v>
      </c>
      <c r="J140" s="25">
        <f t="shared" si="1"/>
        <v>-0.37016719953280447</v>
      </c>
      <c r="K140" s="26">
        <f t="shared" si="2"/>
        <v>0.63700959705911742</v>
      </c>
      <c r="L140" s="27">
        <f t="shared" si="3"/>
        <v>-0.32434358824180537</v>
      </c>
      <c r="M140" s="28">
        <f t="shared" si="4"/>
        <v>0.544899373190884</v>
      </c>
      <c r="N140" s="29">
        <f t="shared" si="5"/>
        <v>0.69538965576737788</v>
      </c>
      <c r="O140" s="30">
        <f t="shared" si="6"/>
        <v>0.55637743216600799</v>
      </c>
      <c r="P140" s="31">
        <f t="shared" si="7"/>
        <v>0.28986087840146291</v>
      </c>
      <c r="Q140" s="20">
        <v>0.35515109147268598</v>
      </c>
      <c r="R140" s="20">
        <v>0.26134068907162</v>
      </c>
      <c r="S140" s="20">
        <v>0.37241351209429002</v>
      </c>
      <c r="T140" s="20">
        <v>0.29226215580228598</v>
      </c>
      <c r="U140" s="20">
        <v>0.24265113149762599</v>
      </c>
      <c r="V140" s="20">
        <v>0.28831773930536497</v>
      </c>
    </row>
    <row r="141" spans="1:22" ht="15.75" customHeight="1" x14ac:dyDescent="0.3">
      <c r="A141" s="21" t="s">
        <v>179</v>
      </c>
      <c r="B141" s="21" t="s">
        <v>150</v>
      </c>
      <c r="C141" s="152">
        <v>-7.9530734050852994E-2</v>
      </c>
      <c r="D141" s="27">
        <v>-8.6668501240593304E-2</v>
      </c>
      <c r="E141" s="275">
        <v>-0.111344148570187</v>
      </c>
      <c r="F141" s="115">
        <v>-8.2615649460427099E-2</v>
      </c>
      <c r="G141" s="158">
        <v>-7.7984296703579606E-2</v>
      </c>
      <c r="H141" s="268">
        <v>-0.11255161531786</v>
      </c>
      <c r="I141" s="12">
        <f t="shared" si="0"/>
        <v>-9.1782490890583324E-2</v>
      </c>
      <c r="J141" s="25">
        <f t="shared" si="1"/>
        <v>-0.38402083049784103</v>
      </c>
      <c r="K141" s="26">
        <f t="shared" si="2"/>
        <v>-0.3489942741689156</v>
      </c>
      <c r="L141" s="27">
        <f t="shared" si="3"/>
        <v>-0.89031783560009814</v>
      </c>
      <c r="M141" s="28">
        <f t="shared" si="4"/>
        <v>-0.20823492758883894</v>
      </c>
      <c r="N141" s="29">
        <f t="shared" si="5"/>
        <v>-9.8517882032962092E-2</v>
      </c>
      <c r="O141" s="30">
        <f t="shared" si="6"/>
        <v>-1.0570671305790047</v>
      </c>
      <c r="P141" s="31">
        <f t="shared" si="7"/>
        <v>-0.49785881341127675</v>
      </c>
      <c r="Q141" s="20">
        <v>0.34998834627543601</v>
      </c>
      <c r="R141" s="20">
        <v>0.36309281628902301</v>
      </c>
      <c r="S141" s="20">
        <v>0.18582046586363901</v>
      </c>
      <c r="T141" s="20">
        <v>0.41724101470073699</v>
      </c>
      <c r="U141" s="20">
        <v>0.46062496594762198</v>
      </c>
      <c r="V141" s="20">
        <v>0.144406049139433</v>
      </c>
    </row>
    <row r="142" spans="1:22" ht="15.75" customHeight="1" x14ac:dyDescent="0.3">
      <c r="A142" s="21" t="s">
        <v>180</v>
      </c>
      <c r="B142" s="21" t="s">
        <v>150</v>
      </c>
      <c r="C142" s="69">
        <v>-0.15252545549448501</v>
      </c>
      <c r="D142" s="82">
        <v>-0.14728006206942401</v>
      </c>
      <c r="E142" s="174">
        <v>-9.1245011222229097E-2</v>
      </c>
      <c r="F142" s="25">
        <v>-9.3127403226271804E-2</v>
      </c>
      <c r="G142" s="115">
        <v>-0.13175775338298401</v>
      </c>
      <c r="H142" s="143">
        <v>-0.13647481989139301</v>
      </c>
      <c r="I142" s="12">
        <f t="shared" si="0"/>
        <v>-0.12540175088113117</v>
      </c>
      <c r="J142" s="25">
        <f t="shared" si="1"/>
        <v>-1.5675167329396149</v>
      </c>
      <c r="K142" s="26">
        <f t="shared" si="2"/>
        <v>-1.837748706856424</v>
      </c>
      <c r="L142" s="27">
        <f t="shared" si="3"/>
        <v>-0.52115356314623429</v>
      </c>
      <c r="M142" s="28">
        <f t="shared" si="4"/>
        <v>-0.50728166093873817</v>
      </c>
      <c r="N142" s="29">
        <f t="shared" si="5"/>
        <v>-1.5447777457050702</v>
      </c>
      <c r="O142" s="30">
        <f t="shared" si="6"/>
        <v>-1.7344388989816422</v>
      </c>
      <c r="P142" s="31">
        <f t="shared" si="7"/>
        <v>-1.2854862180946205</v>
      </c>
      <c r="Q142" s="20">
        <v>5.7865188518550097E-2</v>
      </c>
      <c r="R142" s="70">
        <v>3.2582918784903402E-2</v>
      </c>
      <c r="S142" s="20">
        <v>0.30050104697755098</v>
      </c>
      <c r="T142" s="20">
        <v>0.30536209051381302</v>
      </c>
      <c r="U142" s="20">
        <v>6.0554885157563999E-2</v>
      </c>
      <c r="V142" s="70">
        <v>4.0889942789742201E-2</v>
      </c>
    </row>
    <row r="143" spans="1:22" ht="15.75" customHeight="1" x14ac:dyDescent="0.3">
      <c r="A143" s="21" t="s">
        <v>181</v>
      </c>
      <c r="B143" s="21" t="s">
        <v>182</v>
      </c>
      <c r="C143" s="276">
        <v>-0.14214995161035601</v>
      </c>
      <c r="D143" s="50">
        <v>-0.13772055864964799</v>
      </c>
      <c r="E143" s="174">
        <v>-0.14849902076546601</v>
      </c>
      <c r="F143" s="277">
        <v>-0.122451705244642</v>
      </c>
      <c r="G143" s="188">
        <v>-0.15193324243747899</v>
      </c>
      <c r="H143" s="140">
        <v>-0.13468720036145199</v>
      </c>
      <c r="I143" s="12">
        <f t="shared" si="0"/>
        <v>-0.13957361317817382</v>
      </c>
      <c r="J143" s="25">
        <f t="shared" si="1"/>
        <v>-1.3992940712212911</v>
      </c>
      <c r="K143" s="26">
        <f t="shared" si="2"/>
        <v>-1.6029460900639949</v>
      </c>
      <c r="L143" s="27">
        <f t="shared" si="3"/>
        <v>-1.5727476894107173</v>
      </c>
      <c r="M143" s="28">
        <f t="shared" si="4"/>
        <v>-1.3415227325716381</v>
      </c>
      <c r="N143" s="29">
        <f t="shared" si="5"/>
        <v>-2.0874060580978604</v>
      </c>
      <c r="O143" s="30">
        <f t="shared" si="6"/>
        <v>-1.6838234808629975</v>
      </c>
      <c r="P143" s="31">
        <f t="shared" si="7"/>
        <v>-1.6146233537047501</v>
      </c>
      <c r="Q143" s="20">
        <v>8.01379383636137E-2</v>
      </c>
      <c r="R143" s="20">
        <v>5.3862612382158198E-2</v>
      </c>
      <c r="S143" s="20">
        <v>5.72599303391935E-2</v>
      </c>
      <c r="T143" s="20">
        <v>8.9123407343244004E-2</v>
      </c>
      <c r="U143" s="70">
        <v>1.8101438536337399E-2</v>
      </c>
      <c r="V143" s="70">
        <v>4.5546512379697E-2</v>
      </c>
    </row>
    <row r="144" spans="1:22" ht="15.75" customHeight="1" x14ac:dyDescent="0.3">
      <c r="A144" s="21" t="s">
        <v>183</v>
      </c>
      <c r="B144" s="278" t="s">
        <v>184</v>
      </c>
      <c r="C144" s="279">
        <v>-0.13124550046938999</v>
      </c>
      <c r="D144" s="60">
        <v>-8.9435427497325803E-2</v>
      </c>
      <c r="E144" s="83">
        <v>-7.9282748615557799E-2</v>
      </c>
      <c r="F144" s="49">
        <v>-9.8247519451701695E-2</v>
      </c>
      <c r="G144" s="129">
        <v>-0.11548090955641099</v>
      </c>
      <c r="H144" s="207">
        <v>-9.6131998894697507E-2</v>
      </c>
      <c r="I144" s="12">
        <f t="shared" si="0"/>
        <v>-0.10163735074751395</v>
      </c>
      <c r="J144" s="25">
        <f t="shared" si="1"/>
        <v>-1.222495352238911</v>
      </c>
      <c r="K144" s="26">
        <f t="shared" si="2"/>
        <v>-0.41695612292022799</v>
      </c>
      <c r="L144" s="27">
        <f t="shared" si="3"/>
        <v>-0.3014406523061805</v>
      </c>
      <c r="M144" s="28">
        <f t="shared" si="4"/>
        <v>-0.65294280043020181</v>
      </c>
      <c r="N144" s="29">
        <f t="shared" si="5"/>
        <v>-1.1070051458519559</v>
      </c>
      <c r="O144" s="30">
        <f t="shared" si="6"/>
        <v>-0.59215514193366336</v>
      </c>
      <c r="P144" s="31">
        <f t="shared" si="7"/>
        <v>-0.71549920261352351</v>
      </c>
      <c r="Q144" s="20">
        <v>0.109961520755188</v>
      </c>
      <c r="R144" s="20">
        <v>0.33782683798964802</v>
      </c>
      <c r="S144" s="20">
        <v>0.38114098874056601</v>
      </c>
      <c r="T144" s="20">
        <v>0.25616755287180598</v>
      </c>
      <c r="U144" s="20">
        <v>0.133318125505105</v>
      </c>
      <c r="V144" s="20">
        <v>0.27618660871699802</v>
      </c>
    </row>
    <row r="145" spans="1:22" ht="15.75" customHeight="1" x14ac:dyDescent="0.3">
      <c r="A145" s="21" t="s">
        <v>185</v>
      </c>
      <c r="B145" s="278" t="s">
        <v>184</v>
      </c>
      <c r="C145" s="143">
        <v>-0.12514226289049099</v>
      </c>
      <c r="D145" s="46">
        <v>-0.10637718088895801</v>
      </c>
      <c r="E145" s="125">
        <v>-0.10544755622520199</v>
      </c>
      <c r="F145" s="34">
        <v>-0.112793304183036</v>
      </c>
      <c r="G145" s="101">
        <v>-0.117861867892035</v>
      </c>
      <c r="H145" s="197">
        <v>-0.108799821242675</v>
      </c>
      <c r="I145" s="12">
        <f t="shared" si="0"/>
        <v>-0.11273699888706616</v>
      </c>
      <c r="J145" s="25">
        <f t="shared" si="1"/>
        <v>-1.123540845345786</v>
      </c>
      <c r="K145" s="26">
        <f t="shared" si="2"/>
        <v>-0.83308318043849994</v>
      </c>
      <c r="L145" s="27">
        <f t="shared" si="3"/>
        <v>-0.7820141215994284</v>
      </c>
      <c r="M145" s="28">
        <f t="shared" si="4"/>
        <v>-1.066752855803661</v>
      </c>
      <c r="N145" s="29">
        <f t="shared" si="5"/>
        <v>-1.1710420274386926</v>
      </c>
      <c r="O145" s="30">
        <f t="shared" si="6"/>
        <v>-0.95083724070036424</v>
      </c>
      <c r="P145" s="31">
        <f t="shared" si="7"/>
        <v>-0.98787837855440541</v>
      </c>
      <c r="Q145" s="20">
        <v>0.12977924498839399</v>
      </c>
      <c r="R145" s="20">
        <v>0.20158565790411101</v>
      </c>
      <c r="S145" s="20">
        <v>0.216307483975968</v>
      </c>
      <c r="T145" s="20">
        <v>0.142208300438396</v>
      </c>
      <c r="U145" s="20">
        <v>0.119977133168623</v>
      </c>
      <c r="V145" s="20">
        <v>0.170008150027011</v>
      </c>
    </row>
    <row r="146" spans="1:22" ht="15.75" customHeight="1" x14ac:dyDescent="0.3">
      <c r="A146" s="21" t="s">
        <v>186</v>
      </c>
      <c r="B146" s="278" t="s">
        <v>184</v>
      </c>
      <c r="C146" s="59">
        <v>5.0956485386007597E-2</v>
      </c>
      <c r="D146" s="242">
        <v>-9.8325879076334902E-2</v>
      </c>
      <c r="E146" s="280">
        <v>-1.2560375737004701E-2</v>
      </c>
      <c r="F146" s="134">
        <v>-7.6807032757714097E-2</v>
      </c>
      <c r="G146" s="256">
        <v>-5.8908782552677202E-2</v>
      </c>
      <c r="H146" s="252">
        <v>-6.3976916732670197E-2</v>
      </c>
      <c r="I146" s="12">
        <f t="shared" si="0"/>
        <v>-4.3270416911732251E-2</v>
      </c>
      <c r="J146" s="25">
        <f t="shared" si="1"/>
        <v>1.7316265268771696</v>
      </c>
      <c r="K146" s="26">
        <f t="shared" si="2"/>
        <v>-0.63532534185886513</v>
      </c>
      <c r="L146" s="27">
        <f t="shared" si="3"/>
        <v>0.92406051292711566</v>
      </c>
      <c r="M146" s="28">
        <f t="shared" si="4"/>
        <v>-4.298677880969947E-2</v>
      </c>
      <c r="N146" s="29">
        <f t="shared" si="5"/>
        <v>0.41452614003612548</v>
      </c>
      <c r="O146" s="30">
        <f t="shared" si="6"/>
        <v>0.31829750249681882</v>
      </c>
      <c r="P146" s="31">
        <f t="shared" si="7"/>
        <v>0.45169976027811076</v>
      </c>
      <c r="Q146" s="70">
        <v>4.1138128242214897E-2</v>
      </c>
      <c r="R146" s="20">
        <v>0.26189064633967701</v>
      </c>
      <c r="S146" s="20">
        <v>0.17689486883285699</v>
      </c>
      <c r="T146" s="20">
        <v>0.48279664866952599</v>
      </c>
      <c r="U146" s="20">
        <v>0.33871854756450698</v>
      </c>
      <c r="V146" s="20">
        <v>0.37471130590468399</v>
      </c>
    </row>
    <row r="147" spans="1:22" ht="15.75" customHeight="1" x14ac:dyDescent="0.3">
      <c r="A147" s="21" t="s">
        <v>187</v>
      </c>
      <c r="B147" s="278" t="s">
        <v>184</v>
      </c>
      <c r="C147" s="122">
        <v>1.9219649975732798E-2</v>
      </c>
      <c r="D147" s="200">
        <v>-0.106286461995294</v>
      </c>
      <c r="E147" s="281">
        <v>-6.2205879028649103E-2</v>
      </c>
      <c r="F147" s="143">
        <v>-9.1760099461526301E-2</v>
      </c>
      <c r="G147" s="224">
        <v>-6.41301824115008E-2</v>
      </c>
      <c r="H147" s="52">
        <v>-5.1463580023082503E-2</v>
      </c>
      <c r="I147" s="12">
        <f t="shared" si="0"/>
        <v>-5.9437758824053312E-2</v>
      </c>
      <c r="J147" s="25">
        <f t="shared" si="1"/>
        <v>1.2170630910329201</v>
      </c>
      <c r="K147" s="26">
        <f t="shared" si="2"/>
        <v>-0.83085492310237541</v>
      </c>
      <c r="L147" s="27">
        <f t="shared" si="3"/>
        <v>1.2213114405412968E-2</v>
      </c>
      <c r="M147" s="28">
        <f t="shared" si="4"/>
        <v>-0.46838351573363074</v>
      </c>
      <c r="N147" s="29">
        <f t="shared" si="5"/>
        <v>0.27409438217050075</v>
      </c>
      <c r="O147" s="30">
        <f t="shared" si="6"/>
        <v>0.67260542932734546</v>
      </c>
      <c r="P147" s="31">
        <f t="shared" si="7"/>
        <v>0.14612292968336218</v>
      </c>
      <c r="Q147" s="20">
        <v>0.110989691164023</v>
      </c>
      <c r="R147" s="20">
        <v>0.20221520904590901</v>
      </c>
      <c r="S147" s="20">
        <v>0.49511090614075298</v>
      </c>
      <c r="T147" s="20">
        <v>0.31917499618720102</v>
      </c>
      <c r="U147" s="20">
        <v>0.39164104343739398</v>
      </c>
      <c r="V147" s="20">
        <v>0.24985795175028699</v>
      </c>
    </row>
    <row r="148" spans="1:22" ht="15.75" customHeight="1" x14ac:dyDescent="0.3">
      <c r="A148" s="21" t="s">
        <v>188</v>
      </c>
      <c r="B148" s="278" t="s">
        <v>184</v>
      </c>
      <c r="C148" s="282">
        <v>1.8243131963109002E-2</v>
      </c>
      <c r="D148" s="52">
        <v>-0.12173135364148099</v>
      </c>
      <c r="E148" s="111">
        <v>-4.4262485118642302E-2</v>
      </c>
      <c r="F148" s="200">
        <v>-8.8269111126005897E-2</v>
      </c>
      <c r="G148" s="112">
        <v>-7.1565455810465695E-2</v>
      </c>
      <c r="H148" s="82">
        <v>-7.2782598120898698E-2</v>
      </c>
      <c r="I148" s="12">
        <f t="shared" si="0"/>
        <v>-6.3394645309064093E-2</v>
      </c>
      <c r="J148" s="25">
        <f t="shared" si="1"/>
        <v>1.2012303699300206</v>
      </c>
      <c r="K148" s="26">
        <f t="shared" si="2"/>
        <v>-1.2102157345748614</v>
      </c>
      <c r="L148" s="27">
        <f t="shared" si="3"/>
        <v>0.341782480665491</v>
      </c>
      <c r="M148" s="28">
        <f t="shared" si="4"/>
        <v>-0.36906910244399571</v>
      </c>
      <c r="N148" s="29">
        <f t="shared" si="5"/>
        <v>7.4119558969848662E-2</v>
      </c>
      <c r="O148" s="30">
        <f t="shared" si="6"/>
        <v>6.8969702134592886E-2</v>
      </c>
      <c r="P148" s="31">
        <f t="shared" si="7"/>
        <v>1.7802879113516006E-2</v>
      </c>
      <c r="Q148" s="20">
        <v>0.114025600473949</v>
      </c>
      <c r="R148" s="20">
        <v>0.112295484371598</v>
      </c>
      <c r="S148" s="20">
        <v>0.36581157837943101</v>
      </c>
      <c r="T148" s="20">
        <v>0.35556146694662399</v>
      </c>
      <c r="U148" s="20">
        <v>0.47035541426918198</v>
      </c>
      <c r="V148" s="20">
        <v>0.47241172281330102</v>
      </c>
    </row>
    <row r="149" spans="1:22" ht="15.75" customHeight="1" x14ac:dyDescent="0.3">
      <c r="A149" s="21" t="s">
        <v>189</v>
      </c>
      <c r="B149" s="21" t="s">
        <v>190</v>
      </c>
      <c r="C149" s="230">
        <v>-1.10524084156061E-2</v>
      </c>
      <c r="D149" s="124">
        <v>-6.3115608473243906E-2</v>
      </c>
      <c r="E149" s="25">
        <v>-1.31944179246375E-2</v>
      </c>
      <c r="F149" s="82">
        <v>-8.76000050283645E-2</v>
      </c>
      <c r="G149" s="193">
        <v>-7.1398371014983295E-2</v>
      </c>
      <c r="H149" s="211">
        <v>-5.3780864598931999E-2</v>
      </c>
      <c r="I149" s="12">
        <f t="shared" si="0"/>
        <v>-5.0023612575961218E-2</v>
      </c>
      <c r="J149" s="25">
        <f t="shared" si="1"/>
        <v>0.7262487368430226</v>
      </c>
      <c r="K149" s="26">
        <f t="shared" si="2"/>
        <v>0.22951703671826559</v>
      </c>
      <c r="L149" s="27">
        <f t="shared" si="3"/>
        <v>0.9124149522818823</v>
      </c>
      <c r="M149" s="28">
        <f t="shared" si="4"/>
        <v>-0.35003383989681602</v>
      </c>
      <c r="N149" s="29">
        <f t="shared" si="5"/>
        <v>7.8613375221549861E-2</v>
      </c>
      <c r="O149" s="30">
        <f t="shared" si="6"/>
        <v>0.60699285028465755</v>
      </c>
      <c r="P149" s="31">
        <f t="shared" si="7"/>
        <v>0.36729218524209367</v>
      </c>
      <c r="Q149" s="20">
        <v>0.23307238461975599</v>
      </c>
      <c r="R149" s="20">
        <v>0.40892443826305602</v>
      </c>
      <c r="S149" s="20">
        <v>0.17994424784850299</v>
      </c>
      <c r="T149" s="20">
        <v>0.362701476667941</v>
      </c>
      <c r="U149" s="20">
        <v>0.46856170272181302</v>
      </c>
      <c r="V149" s="20">
        <v>0.27123013331880802</v>
      </c>
    </row>
    <row r="150" spans="1:22" ht="15.75" customHeight="1" x14ac:dyDescent="0.25"/>
    <row r="151" spans="1:22" ht="15.75" customHeight="1" x14ac:dyDescent="0.25"/>
    <row r="152" spans="1:22" ht="15.75" customHeight="1" x14ac:dyDescent="0.25"/>
    <row r="153" spans="1:22" ht="15.75" customHeight="1" x14ac:dyDescent="0.25"/>
    <row r="154" spans="1:22" ht="15.75" customHeight="1" x14ac:dyDescent="0.25"/>
    <row r="155" spans="1:22" ht="15.75" customHeight="1" x14ac:dyDescent="0.25"/>
    <row r="156" spans="1:22" ht="15.75" customHeight="1" x14ac:dyDescent="0.25"/>
    <row r="157" spans="1:22" ht="15.75" customHeight="1" x14ac:dyDescent="0.25"/>
    <row r="158" spans="1:22" ht="15.75" customHeight="1" x14ac:dyDescent="0.25"/>
    <row r="159" spans="1:22" ht="15.75" customHeight="1" x14ac:dyDescent="0.25"/>
    <row r="160" spans="1:2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D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19:E14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19:F14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:C14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4:D14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149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5:E14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5:F14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5:G14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H149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149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:J149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5:K149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5:L149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5:M149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5:N149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:O149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5:P149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25" right="0.25" top="0.25" bottom="0.2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2020-06-15T14:01:31Z</dcterms:created>
  <dcterms:modified xsi:type="dcterms:W3CDTF">2020-06-15T14:01:46Z</dcterms:modified>
</cp:coreProperties>
</file>