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D5A4430A-83A3-4EC7-881D-E668AD257464}" xr6:coauthVersionLast="45" xr6:coauthVersionMax="45" xr10:uidLastSave="{00000000-0000-0000-0000-000000000000}"/>
  <bookViews>
    <workbookView xWindow="-108" yWindow="-108" windowWidth="23256" windowHeight="12576" xr2:uid="{B2DC47A4-FA2C-4111-B13F-333ECAC68D9C}"/>
  </bookViews>
  <sheets>
    <sheet name="Supplemental table S4" sheetId="1" r:id="rId1"/>
  </sheets>
  <definedNames>
    <definedName name="_xlnm._FilterDatabase" localSheetId="0" hidden="1">'Supplemental table S4'!$A$4:$V$158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58" i="1" l="1"/>
  <c r="N158" i="1"/>
  <c r="M158" i="1"/>
  <c r="L158" i="1"/>
  <c r="K158" i="1"/>
  <c r="J158" i="1"/>
  <c r="P158" i="1" s="1"/>
  <c r="I158" i="1"/>
  <c r="O157" i="1"/>
  <c r="N157" i="1"/>
  <c r="M157" i="1"/>
  <c r="L157" i="1"/>
  <c r="K157" i="1"/>
  <c r="J157" i="1"/>
  <c r="P157" i="1" s="1"/>
  <c r="I157" i="1"/>
  <c r="O156" i="1"/>
  <c r="N156" i="1"/>
  <c r="M156" i="1"/>
  <c r="L156" i="1"/>
  <c r="K156" i="1"/>
  <c r="J156" i="1"/>
  <c r="P156" i="1" s="1"/>
  <c r="I156" i="1"/>
  <c r="O155" i="1"/>
  <c r="N155" i="1"/>
  <c r="M155" i="1"/>
  <c r="L155" i="1"/>
  <c r="K155" i="1"/>
  <c r="J155" i="1"/>
  <c r="P155" i="1" s="1"/>
  <c r="I155" i="1"/>
  <c r="O154" i="1"/>
  <c r="N154" i="1"/>
  <c r="M154" i="1"/>
  <c r="L154" i="1"/>
  <c r="K154" i="1"/>
  <c r="J154" i="1"/>
  <c r="P154" i="1" s="1"/>
  <c r="I154" i="1"/>
  <c r="O153" i="1"/>
  <c r="N153" i="1"/>
  <c r="M153" i="1"/>
  <c r="L153" i="1"/>
  <c r="K153" i="1"/>
  <c r="J153" i="1"/>
  <c r="P153" i="1" s="1"/>
  <c r="I153" i="1"/>
  <c r="O152" i="1"/>
  <c r="N152" i="1"/>
  <c r="M152" i="1"/>
  <c r="L152" i="1"/>
  <c r="K152" i="1"/>
  <c r="J152" i="1"/>
  <c r="I152" i="1"/>
  <c r="O151" i="1"/>
  <c r="N151" i="1"/>
  <c r="M151" i="1"/>
  <c r="L151" i="1"/>
  <c r="K151" i="1"/>
  <c r="J151" i="1"/>
  <c r="I151" i="1"/>
  <c r="O150" i="1"/>
  <c r="N150" i="1"/>
  <c r="M150" i="1"/>
  <c r="L150" i="1"/>
  <c r="K150" i="1"/>
  <c r="J150" i="1"/>
  <c r="I150" i="1"/>
  <c r="O149" i="1"/>
  <c r="N149" i="1"/>
  <c r="M149" i="1"/>
  <c r="L149" i="1"/>
  <c r="K149" i="1"/>
  <c r="J149" i="1"/>
  <c r="I149" i="1"/>
  <c r="O148" i="1"/>
  <c r="N148" i="1"/>
  <c r="M148" i="1"/>
  <c r="L148" i="1"/>
  <c r="K148" i="1"/>
  <c r="J148" i="1"/>
  <c r="I148" i="1"/>
  <c r="O147" i="1"/>
  <c r="N147" i="1"/>
  <c r="M147" i="1"/>
  <c r="L147" i="1"/>
  <c r="K147" i="1"/>
  <c r="J147" i="1"/>
  <c r="P147" i="1" s="1"/>
  <c r="I147" i="1"/>
  <c r="O146" i="1"/>
  <c r="N146" i="1"/>
  <c r="M146" i="1"/>
  <c r="L146" i="1"/>
  <c r="K146" i="1"/>
  <c r="J146" i="1"/>
  <c r="P146" i="1" s="1"/>
  <c r="I146" i="1"/>
  <c r="O145" i="1"/>
  <c r="N145" i="1"/>
  <c r="M145" i="1"/>
  <c r="L145" i="1"/>
  <c r="K145" i="1"/>
  <c r="J145" i="1"/>
  <c r="I145" i="1"/>
  <c r="O144" i="1"/>
  <c r="N144" i="1"/>
  <c r="M144" i="1"/>
  <c r="L144" i="1"/>
  <c r="K144" i="1"/>
  <c r="J144" i="1"/>
  <c r="I144" i="1"/>
  <c r="O143" i="1"/>
  <c r="N143" i="1"/>
  <c r="M143" i="1"/>
  <c r="L143" i="1"/>
  <c r="K143" i="1"/>
  <c r="J143" i="1"/>
  <c r="I143" i="1"/>
  <c r="O142" i="1"/>
  <c r="N142" i="1"/>
  <c r="M142" i="1"/>
  <c r="L142" i="1"/>
  <c r="K142" i="1"/>
  <c r="J142" i="1"/>
  <c r="I142" i="1"/>
  <c r="O141" i="1"/>
  <c r="N141" i="1"/>
  <c r="M141" i="1"/>
  <c r="L141" i="1"/>
  <c r="K141" i="1"/>
  <c r="J141" i="1"/>
  <c r="I141" i="1"/>
  <c r="O140" i="1"/>
  <c r="N140" i="1"/>
  <c r="M140" i="1"/>
  <c r="L140" i="1"/>
  <c r="K140" i="1"/>
  <c r="J140" i="1"/>
  <c r="I140" i="1"/>
  <c r="O139" i="1"/>
  <c r="N139" i="1"/>
  <c r="M139" i="1"/>
  <c r="L139" i="1"/>
  <c r="K139" i="1"/>
  <c r="J139" i="1"/>
  <c r="P139" i="1" s="1"/>
  <c r="I139" i="1"/>
  <c r="O138" i="1"/>
  <c r="N138" i="1"/>
  <c r="M138" i="1"/>
  <c r="L138" i="1"/>
  <c r="K138" i="1"/>
  <c r="J138" i="1"/>
  <c r="P138" i="1" s="1"/>
  <c r="I138" i="1"/>
  <c r="O137" i="1"/>
  <c r="N137" i="1"/>
  <c r="M137" i="1"/>
  <c r="L137" i="1"/>
  <c r="K137" i="1"/>
  <c r="J137" i="1"/>
  <c r="I137" i="1"/>
  <c r="O136" i="1"/>
  <c r="N136" i="1"/>
  <c r="M136" i="1"/>
  <c r="L136" i="1"/>
  <c r="K136" i="1"/>
  <c r="J136" i="1"/>
  <c r="I136" i="1"/>
  <c r="O135" i="1"/>
  <c r="N135" i="1"/>
  <c r="M135" i="1"/>
  <c r="L135" i="1"/>
  <c r="K135" i="1"/>
  <c r="J135" i="1"/>
  <c r="I135" i="1"/>
  <c r="O134" i="1"/>
  <c r="N134" i="1"/>
  <c r="M134" i="1"/>
  <c r="L134" i="1"/>
  <c r="K134" i="1"/>
  <c r="J134" i="1"/>
  <c r="I134" i="1"/>
  <c r="O133" i="1"/>
  <c r="N133" i="1"/>
  <c r="M133" i="1"/>
  <c r="L133" i="1"/>
  <c r="K133" i="1"/>
  <c r="J133" i="1"/>
  <c r="I133" i="1"/>
  <c r="O132" i="1"/>
  <c r="N132" i="1"/>
  <c r="M132" i="1"/>
  <c r="L132" i="1"/>
  <c r="K132" i="1"/>
  <c r="J132" i="1"/>
  <c r="I132" i="1"/>
  <c r="O131" i="1"/>
  <c r="N131" i="1"/>
  <c r="M131" i="1"/>
  <c r="L131" i="1"/>
  <c r="K131" i="1"/>
  <c r="J131" i="1"/>
  <c r="P131" i="1" s="1"/>
  <c r="I131" i="1"/>
  <c r="O130" i="1"/>
  <c r="N130" i="1"/>
  <c r="M130" i="1"/>
  <c r="L130" i="1"/>
  <c r="K130" i="1"/>
  <c r="J130" i="1"/>
  <c r="P130" i="1" s="1"/>
  <c r="I130" i="1"/>
  <c r="O129" i="1"/>
  <c r="N129" i="1"/>
  <c r="M129" i="1"/>
  <c r="L129" i="1"/>
  <c r="K129" i="1"/>
  <c r="J129" i="1"/>
  <c r="I129" i="1"/>
  <c r="O128" i="1"/>
  <c r="N128" i="1"/>
  <c r="M128" i="1"/>
  <c r="L128" i="1"/>
  <c r="K128" i="1"/>
  <c r="J128" i="1"/>
  <c r="I128" i="1"/>
  <c r="O127" i="1"/>
  <c r="N127" i="1"/>
  <c r="M127" i="1"/>
  <c r="L127" i="1"/>
  <c r="K127" i="1"/>
  <c r="J127" i="1"/>
  <c r="I127" i="1"/>
  <c r="O126" i="1"/>
  <c r="N126" i="1"/>
  <c r="M126" i="1"/>
  <c r="L126" i="1"/>
  <c r="K126" i="1"/>
  <c r="J126" i="1"/>
  <c r="I126" i="1"/>
  <c r="O125" i="1"/>
  <c r="N125" i="1"/>
  <c r="M125" i="1"/>
  <c r="L125" i="1"/>
  <c r="K125" i="1"/>
  <c r="J125" i="1"/>
  <c r="I125" i="1"/>
  <c r="O124" i="1"/>
  <c r="N124" i="1"/>
  <c r="M124" i="1"/>
  <c r="L124" i="1"/>
  <c r="K124" i="1"/>
  <c r="J124" i="1"/>
  <c r="I124" i="1"/>
  <c r="O123" i="1"/>
  <c r="N123" i="1"/>
  <c r="M123" i="1"/>
  <c r="L123" i="1"/>
  <c r="K123" i="1"/>
  <c r="J123" i="1"/>
  <c r="P123" i="1" s="1"/>
  <c r="I123" i="1"/>
  <c r="O122" i="1"/>
  <c r="N122" i="1"/>
  <c r="M122" i="1"/>
  <c r="L122" i="1"/>
  <c r="K122" i="1"/>
  <c r="J122" i="1"/>
  <c r="P122" i="1" s="1"/>
  <c r="I122" i="1"/>
  <c r="O121" i="1"/>
  <c r="N121" i="1"/>
  <c r="M121" i="1"/>
  <c r="L121" i="1"/>
  <c r="K121" i="1"/>
  <c r="J121" i="1"/>
  <c r="P121" i="1" s="1"/>
  <c r="I121" i="1"/>
  <c r="O120" i="1"/>
  <c r="N120" i="1"/>
  <c r="M120" i="1"/>
  <c r="L120" i="1"/>
  <c r="K120" i="1"/>
  <c r="J120" i="1"/>
  <c r="I120" i="1"/>
  <c r="O119" i="1"/>
  <c r="N119" i="1"/>
  <c r="M119" i="1"/>
  <c r="L119" i="1"/>
  <c r="K119" i="1"/>
  <c r="J119" i="1"/>
  <c r="I119" i="1"/>
  <c r="O118" i="1"/>
  <c r="N118" i="1"/>
  <c r="M118" i="1"/>
  <c r="L118" i="1"/>
  <c r="K118" i="1"/>
  <c r="J118" i="1"/>
  <c r="I118" i="1"/>
  <c r="O117" i="1"/>
  <c r="N117" i="1"/>
  <c r="M117" i="1"/>
  <c r="L117" i="1"/>
  <c r="K117" i="1"/>
  <c r="J117" i="1"/>
  <c r="I117" i="1"/>
  <c r="O116" i="1"/>
  <c r="N116" i="1"/>
  <c r="M116" i="1"/>
  <c r="L116" i="1"/>
  <c r="K116" i="1"/>
  <c r="J116" i="1"/>
  <c r="I116" i="1"/>
  <c r="O115" i="1"/>
  <c r="N115" i="1"/>
  <c r="M115" i="1"/>
  <c r="L115" i="1"/>
  <c r="K115" i="1"/>
  <c r="J115" i="1"/>
  <c r="P115" i="1" s="1"/>
  <c r="I115" i="1"/>
  <c r="O114" i="1"/>
  <c r="N114" i="1"/>
  <c r="M114" i="1"/>
  <c r="L114" i="1"/>
  <c r="K114" i="1"/>
  <c r="J114" i="1"/>
  <c r="P114" i="1" s="1"/>
  <c r="I114" i="1"/>
  <c r="O113" i="1"/>
  <c r="N113" i="1"/>
  <c r="M113" i="1"/>
  <c r="L113" i="1"/>
  <c r="K113" i="1"/>
  <c r="J113" i="1"/>
  <c r="I113" i="1"/>
  <c r="O112" i="1"/>
  <c r="N112" i="1"/>
  <c r="M112" i="1"/>
  <c r="L112" i="1"/>
  <c r="K112" i="1"/>
  <c r="J112" i="1"/>
  <c r="I112" i="1"/>
  <c r="O111" i="1"/>
  <c r="N111" i="1"/>
  <c r="M111" i="1"/>
  <c r="L111" i="1"/>
  <c r="K111" i="1"/>
  <c r="J111" i="1"/>
  <c r="I111" i="1"/>
  <c r="O110" i="1"/>
  <c r="N110" i="1"/>
  <c r="M110" i="1"/>
  <c r="L110" i="1"/>
  <c r="K110" i="1"/>
  <c r="J110" i="1"/>
  <c r="I110" i="1"/>
  <c r="O109" i="1"/>
  <c r="N109" i="1"/>
  <c r="M109" i="1"/>
  <c r="L109" i="1"/>
  <c r="K109" i="1"/>
  <c r="J109" i="1"/>
  <c r="I109" i="1"/>
  <c r="O108" i="1"/>
  <c r="N108" i="1"/>
  <c r="M108" i="1"/>
  <c r="L108" i="1"/>
  <c r="K108" i="1"/>
  <c r="J108" i="1"/>
  <c r="I108" i="1"/>
  <c r="O107" i="1"/>
  <c r="N107" i="1"/>
  <c r="M107" i="1"/>
  <c r="L107" i="1"/>
  <c r="K107" i="1"/>
  <c r="J107" i="1"/>
  <c r="P107" i="1" s="1"/>
  <c r="I107" i="1"/>
  <c r="O106" i="1"/>
  <c r="N106" i="1"/>
  <c r="M106" i="1"/>
  <c r="L106" i="1"/>
  <c r="K106" i="1"/>
  <c r="J106" i="1"/>
  <c r="P106" i="1" s="1"/>
  <c r="I106" i="1"/>
  <c r="O105" i="1"/>
  <c r="N105" i="1"/>
  <c r="M105" i="1"/>
  <c r="L105" i="1"/>
  <c r="K105" i="1"/>
  <c r="J105" i="1"/>
  <c r="I105" i="1"/>
  <c r="O104" i="1"/>
  <c r="N104" i="1"/>
  <c r="M104" i="1"/>
  <c r="L104" i="1"/>
  <c r="K104" i="1"/>
  <c r="J104" i="1"/>
  <c r="I104" i="1"/>
  <c r="O103" i="1"/>
  <c r="N103" i="1"/>
  <c r="M103" i="1"/>
  <c r="L103" i="1"/>
  <c r="K103" i="1"/>
  <c r="J103" i="1"/>
  <c r="I103" i="1"/>
  <c r="O102" i="1"/>
  <c r="N102" i="1"/>
  <c r="M102" i="1"/>
  <c r="L102" i="1"/>
  <c r="K102" i="1"/>
  <c r="J102" i="1"/>
  <c r="I102" i="1"/>
  <c r="O101" i="1"/>
  <c r="N101" i="1"/>
  <c r="M101" i="1"/>
  <c r="L101" i="1"/>
  <c r="K101" i="1"/>
  <c r="J101" i="1"/>
  <c r="I101" i="1"/>
  <c r="O100" i="1"/>
  <c r="N100" i="1"/>
  <c r="M100" i="1"/>
  <c r="L100" i="1"/>
  <c r="K100" i="1"/>
  <c r="J100" i="1"/>
  <c r="I100" i="1"/>
  <c r="O99" i="1"/>
  <c r="N99" i="1"/>
  <c r="M99" i="1"/>
  <c r="L99" i="1"/>
  <c r="K99" i="1"/>
  <c r="J99" i="1"/>
  <c r="P99" i="1" s="1"/>
  <c r="I99" i="1"/>
  <c r="O98" i="1"/>
  <c r="N98" i="1"/>
  <c r="M98" i="1"/>
  <c r="L98" i="1"/>
  <c r="K98" i="1"/>
  <c r="J98" i="1"/>
  <c r="P98" i="1" s="1"/>
  <c r="I98" i="1"/>
  <c r="O97" i="1"/>
  <c r="N97" i="1"/>
  <c r="M97" i="1"/>
  <c r="L97" i="1"/>
  <c r="K97" i="1"/>
  <c r="J97" i="1"/>
  <c r="I97" i="1"/>
  <c r="O96" i="1"/>
  <c r="N96" i="1"/>
  <c r="M96" i="1"/>
  <c r="L96" i="1"/>
  <c r="K96" i="1"/>
  <c r="J96" i="1"/>
  <c r="I96" i="1"/>
  <c r="O95" i="1"/>
  <c r="N95" i="1"/>
  <c r="M95" i="1"/>
  <c r="L95" i="1"/>
  <c r="K95" i="1"/>
  <c r="J95" i="1"/>
  <c r="I95" i="1"/>
  <c r="O94" i="1"/>
  <c r="N94" i="1"/>
  <c r="M94" i="1"/>
  <c r="L94" i="1"/>
  <c r="K94" i="1"/>
  <c r="J94" i="1"/>
  <c r="I94" i="1"/>
  <c r="O93" i="1"/>
  <c r="N93" i="1"/>
  <c r="M93" i="1"/>
  <c r="L93" i="1"/>
  <c r="K93" i="1"/>
  <c r="J93" i="1"/>
  <c r="I93" i="1"/>
  <c r="O92" i="1"/>
  <c r="N92" i="1"/>
  <c r="M92" i="1"/>
  <c r="L92" i="1"/>
  <c r="K92" i="1"/>
  <c r="J92" i="1"/>
  <c r="I92" i="1"/>
  <c r="O91" i="1"/>
  <c r="N91" i="1"/>
  <c r="M91" i="1"/>
  <c r="L91" i="1"/>
  <c r="K91" i="1"/>
  <c r="J91" i="1"/>
  <c r="P91" i="1" s="1"/>
  <c r="I91" i="1"/>
  <c r="O90" i="1"/>
  <c r="N90" i="1"/>
  <c r="M90" i="1"/>
  <c r="L90" i="1"/>
  <c r="K90" i="1"/>
  <c r="J90" i="1"/>
  <c r="P90" i="1" s="1"/>
  <c r="I90" i="1"/>
  <c r="O89" i="1"/>
  <c r="N89" i="1"/>
  <c r="M89" i="1"/>
  <c r="L89" i="1"/>
  <c r="K89" i="1"/>
  <c r="J89" i="1"/>
  <c r="I89" i="1"/>
  <c r="O88" i="1"/>
  <c r="N88" i="1"/>
  <c r="M88" i="1"/>
  <c r="L88" i="1"/>
  <c r="K88" i="1"/>
  <c r="J88" i="1"/>
  <c r="I88" i="1"/>
  <c r="O87" i="1"/>
  <c r="N87" i="1"/>
  <c r="M87" i="1"/>
  <c r="L87" i="1"/>
  <c r="K87" i="1"/>
  <c r="J87" i="1"/>
  <c r="I87" i="1"/>
  <c r="O86" i="1"/>
  <c r="N86" i="1"/>
  <c r="M86" i="1"/>
  <c r="L86" i="1"/>
  <c r="K86" i="1"/>
  <c r="J86" i="1"/>
  <c r="I86" i="1"/>
  <c r="O85" i="1"/>
  <c r="N85" i="1"/>
  <c r="M85" i="1"/>
  <c r="L85" i="1"/>
  <c r="K85" i="1"/>
  <c r="J85" i="1"/>
  <c r="I85" i="1"/>
  <c r="O84" i="1"/>
  <c r="N84" i="1"/>
  <c r="M84" i="1"/>
  <c r="L84" i="1"/>
  <c r="K84" i="1"/>
  <c r="J84" i="1"/>
  <c r="I84" i="1"/>
  <c r="O83" i="1"/>
  <c r="N83" i="1"/>
  <c r="M83" i="1"/>
  <c r="L83" i="1"/>
  <c r="K83" i="1"/>
  <c r="J83" i="1"/>
  <c r="P83" i="1" s="1"/>
  <c r="I83" i="1"/>
  <c r="O82" i="1"/>
  <c r="N82" i="1"/>
  <c r="M82" i="1"/>
  <c r="L82" i="1"/>
  <c r="K82" i="1"/>
  <c r="J82" i="1"/>
  <c r="P82" i="1" s="1"/>
  <c r="I82" i="1"/>
  <c r="O81" i="1"/>
  <c r="N81" i="1"/>
  <c r="M81" i="1"/>
  <c r="L81" i="1"/>
  <c r="K81" i="1"/>
  <c r="J81" i="1"/>
  <c r="I81" i="1"/>
  <c r="O80" i="1"/>
  <c r="N80" i="1"/>
  <c r="M80" i="1"/>
  <c r="L80" i="1"/>
  <c r="K80" i="1"/>
  <c r="J80" i="1"/>
  <c r="I80" i="1"/>
  <c r="O79" i="1"/>
  <c r="N79" i="1"/>
  <c r="M79" i="1"/>
  <c r="L79" i="1"/>
  <c r="K79" i="1"/>
  <c r="J79" i="1"/>
  <c r="I79" i="1"/>
  <c r="O78" i="1"/>
  <c r="N78" i="1"/>
  <c r="M78" i="1"/>
  <c r="L78" i="1"/>
  <c r="K78" i="1"/>
  <c r="J78" i="1"/>
  <c r="I78" i="1"/>
  <c r="O77" i="1"/>
  <c r="N77" i="1"/>
  <c r="M77" i="1"/>
  <c r="L77" i="1"/>
  <c r="K77" i="1"/>
  <c r="J77" i="1"/>
  <c r="I77" i="1"/>
  <c r="O76" i="1"/>
  <c r="N76" i="1"/>
  <c r="M76" i="1"/>
  <c r="L76" i="1"/>
  <c r="K76" i="1"/>
  <c r="J76" i="1"/>
  <c r="I76" i="1"/>
  <c r="O75" i="1"/>
  <c r="N75" i="1"/>
  <c r="M75" i="1"/>
  <c r="L75" i="1"/>
  <c r="K75" i="1"/>
  <c r="J75" i="1"/>
  <c r="P75" i="1" s="1"/>
  <c r="I75" i="1"/>
  <c r="O74" i="1"/>
  <c r="N74" i="1"/>
  <c r="M74" i="1"/>
  <c r="L74" i="1"/>
  <c r="K74" i="1"/>
  <c r="J74" i="1"/>
  <c r="P74" i="1" s="1"/>
  <c r="I74" i="1"/>
  <c r="O73" i="1"/>
  <c r="N73" i="1"/>
  <c r="M73" i="1"/>
  <c r="L73" i="1"/>
  <c r="K73" i="1"/>
  <c r="J73" i="1"/>
  <c r="P73" i="1" s="1"/>
  <c r="I73" i="1"/>
  <c r="O72" i="1"/>
  <c r="N72" i="1"/>
  <c r="M72" i="1"/>
  <c r="L72" i="1"/>
  <c r="K72" i="1"/>
  <c r="J72" i="1"/>
  <c r="P72" i="1" s="1"/>
  <c r="I72" i="1"/>
  <c r="O71" i="1"/>
  <c r="N71" i="1"/>
  <c r="M71" i="1"/>
  <c r="L71" i="1"/>
  <c r="K71" i="1"/>
  <c r="J71" i="1"/>
  <c r="P71" i="1" s="1"/>
  <c r="I71" i="1"/>
  <c r="O70" i="1"/>
  <c r="N70" i="1"/>
  <c r="M70" i="1"/>
  <c r="L70" i="1"/>
  <c r="K70" i="1"/>
  <c r="J70" i="1"/>
  <c r="P70" i="1" s="1"/>
  <c r="I70" i="1"/>
  <c r="O69" i="1"/>
  <c r="N69" i="1"/>
  <c r="M69" i="1"/>
  <c r="L69" i="1"/>
  <c r="K69" i="1"/>
  <c r="J69" i="1"/>
  <c r="P69" i="1" s="1"/>
  <c r="I69" i="1"/>
  <c r="O68" i="1"/>
  <c r="N68" i="1"/>
  <c r="M68" i="1"/>
  <c r="L68" i="1"/>
  <c r="K68" i="1"/>
  <c r="J68" i="1"/>
  <c r="P68" i="1" s="1"/>
  <c r="I68" i="1"/>
  <c r="O67" i="1"/>
  <c r="N67" i="1"/>
  <c r="M67" i="1"/>
  <c r="L67" i="1"/>
  <c r="K67" i="1"/>
  <c r="J67" i="1"/>
  <c r="P67" i="1" s="1"/>
  <c r="I67" i="1"/>
  <c r="O66" i="1"/>
  <c r="N66" i="1"/>
  <c r="M66" i="1"/>
  <c r="L66" i="1"/>
  <c r="K66" i="1"/>
  <c r="J66" i="1"/>
  <c r="P66" i="1" s="1"/>
  <c r="I66" i="1"/>
  <c r="O65" i="1"/>
  <c r="N65" i="1"/>
  <c r="M65" i="1"/>
  <c r="L65" i="1"/>
  <c r="K65" i="1"/>
  <c r="J65" i="1"/>
  <c r="P65" i="1" s="1"/>
  <c r="I65" i="1"/>
  <c r="O64" i="1"/>
  <c r="N64" i="1"/>
  <c r="M64" i="1"/>
  <c r="L64" i="1"/>
  <c r="K64" i="1"/>
  <c r="J64" i="1"/>
  <c r="P64" i="1" s="1"/>
  <c r="I64" i="1"/>
  <c r="O63" i="1"/>
  <c r="N63" i="1"/>
  <c r="M63" i="1"/>
  <c r="L63" i="1"/>
  <c r="K63" i="1"/>
  <c r="J63" i="1"/>
  <c r="P63" i="1" s="1"/>
  <c r="I63" i="1"/>
  <c r="O62" i="1"/>
  <c r="N62" i="1"/>
  <c r="M62" i="1"/>
  <c r="L62" i="1"/>
  <c r="K62" i="1"/>
  <c r="J62" i="1"/>
  <c r="P62" i="1" s="1"/>
  <c r="I62" i="1"/>
  <c r="O61" i="1"/>
  <c r="N61" i="1"/>
  <c r="M61" i="1"/>
  <c r="L61" i="1"/>
  <c r="K61" i="1"/>
  <c r="J61" i="1"/>
  <c r="P61" i="1" s="1"/>
  <c r="I61" i="1"/>
  <c r="O60" i="1"/>
  <c r="N60" i="1"/>
  <c r="M60" i="1"/>
  <c r="L60" i="1"/>
  <c r="K60" i="1"/>
  <c r="J60" i="1"/>
  <c r="P60" i="1" s="1"/>
  <c r="I60" i="1"/>
  <c r="O59" i="1"/>
  <c r="N59" i="1"/>
  <c r="M59" i="1"/>
  <c r="L59" i="1"/>
  <c r="K59" i="1"/>
  <c r="J59" i="1"/>
  <c r="P59" i="1" s="1"/>
  <c r="I59" i="1"/>
  <c r="O58" i="1"/>
  <c r="N58" i="1"/>
  <c r="M58" i="1"/>
  <c r="L58" i="1"/>
  <c r="K58" i="1"/>
  <c r="J58" i="1"/>
  <c r="P58" i="1" s="1"/>
  <c r="I58" i="1"/>
  <c r="O57" i="1"/>
  <c r="N57" i="1"/>
  <c r="M57" i="1"/>
  <c r="L57" i="1"/>
  <c r="K57" i="1"/>
  <c r="J57" i="1"/>
  <c r="P57" i="1" s="1"/>
  <c r="I57" i="1"/>
  <c r="O56" i="1"/>
  <c r="N56" i="1"/>
  <c r="M56" i="1"/>
  <c r="L56" i="1"/>
  <c r="K56" i="1"/>
  <c r="J56" i="1"/>
  <c r="P56" i="1" s="1"/>
  <c r="I56" i="1"/>
  <c r="O55" i="1"/>
  <c r="N55" i="1"/>
  <c r="M55" i="1"/>
  <c r="L55" i="1"/>
  <c r="K55" i="1"/>
  <c r="J55" i="1"/>
  <c r="P55" i="1" s="1"/>
  <c r="I55" i="1"/>
  <c r="O54" i="1"/>
  <c r="N54" i="1"/>
  <c r="M54" i="1"/>
  <c r="L54" i="1"/>
  <c r="K54" i="1"/>
  <c r="J54" i="1"/>
  <c r="P54" i="1" s="1"/>
  <c r="I54" i="1"/>
  <c r="O53" i="1"/>
  <c r="N53" i="1"/>
  <c r="M53" i="1"/>
  <c r="L53" i="1"/>
  <c r="K53" i="1"/>
  <c r="J53" i="1"/>
  <c r="P53" i="1" s="1"/>
  <c r="I53" i="1"/>
  <c r="O52" i="1"/>
  <c r="N52" i="1"/>
  <c r="M52" i="1"/>
  <c r="L52" i="1"/>
  <c r="K52" i="1"/>
  <c r="J52" i="1"/>
  <c r="P52" i="1" s="1"/>
  <c r="I52" i="1"/>
  <c r="O51" i="1"/>
  <c r="N51" i="1"/>
  <c r="M51" i="1"/>
  <c r="L51" i="1"/>
  <c r="K51" i="1"/>
  <c r="J51" i="1"/>
  <c r="P51" i="1" s="1"/>
  <c r="I51" i="1"/>
  <c r="O50" i="1"/>
  <c r="N50" i="1"/>
  <c r="M50" i="1"/>
  <c r="L50" i="1"/>
  <c r="K50" i="1"/>
  <c r="J50" i="1"/>
  <c r="P50" i="1" s="1"/>
  <c r="I50" i="1"/>
  <c r="O49" i="1"/>
  <c r="N49" i="1"/>
  <c r="M49" i="1"/>
  <c r="L49" i="1"/>
  <c r="K49" i="1"/>
  <c r="J49" i="1"/>
  <c r="P49" i="1" s="1"/>
  <c r="I49" i="1"/>
  <c r="O48" i="1"/>
  <c r="N48" i="1"/>
  <c r="M48" i="1"/>
  <c r="L48" i="1"/>
  <c r="K48" i="1"/>
  <c r="J48" i="1"/>
  <c r="P48" i="1" s="1"/>
  <c r="I48" i="1"/>
  <c r="O47" i="1"/>
  <c r="N47" i="1"/>
  <c r="M47" i="1"/>
  <c r="L47" i="1"/>
  <c r="K47" i="1"/>
  <c r="J47" i="1"/>
  <c r="P47" i="1" s="1"/>
  <c r="I47" i="1"/>
  <c r="O46" i="1"/>
  <c r="N46" i="1"/>
  <c r="M46" i="1"/>
  <c r="L46" i="1"/>
  <c r="K46" i="1"/>
  <c r="J46" i="1"/>
  <c r="P46" i="1" s="1"/>
  <c r="I46" i="1"/>
  <c r="O45" i="1"/>
  <c r="N45" i="1"/>
  <c r="M45" i="1"/>
  <c r="L45" i="1"/>
  <c r="K45" i="1"/>
  <c r="J45" i="1"/>
  <c r="P45" i="1" s="1"/>
  <c r="I45" i="1"/>
  <c r="O44" i="1"/>
  <c r="N44" i="1"/>
  <c r="M44" i="1"/>
  <c r="L44" i="1"/>
  <c r="K44" i="1"/>
  <c r="J44" i="1"/>
  <c r="P44" i="1" s="1"/>
  <c r="I44" i="1"/>
  <c r="O43" i="1"/>
  <c r="N43" i="1"/>
  <c r="M43" i="1"/>
  <c r="L43" i="1"/>
  <c r="K43" i="1"/>
  <c r="J43" i="1"/>
  <c r="P43" i="1" s="1"/>
  <c r="I43" i="1"/>
  <c r="O42" i="1"/>
  <c r="N42" i="1"/>
  <c r="M42" i="1"/>
  <c r="L42" i="1"/>
  <c r="K42" i="1"/>
  <c r="J42" i="1"/>
  <c r="P42" i="1" s="1"/>
  <c r="I42" i="1"/>
  <c r="O41" i="1"/>
  <c r="N41" i="1"/>
  <c r="M41" i="1"/>
  <c r="L41" i="1"/>
  <c r="K41" i="1"/>
  <c r="J41" i="1"/>
  <c r="P41" i="1" s="1"/>
  <c r="I41" i="1"/>
  <c r="O40" i="1"/>
  <c r="N40" i="1"/>
  <c r="M40" i="1"/>
  <c r="L40" i="1"/>
  <c r="K40" i="1"/>
  <c r="J40" i="1"/>
  <c r="P40" i="1" s="1"/>
  <c r="I40" i="1"/>
  <c r="O39" i="1"/>
  <c r="N39" i="1"/>
  <c r="M39" i="1"/>
  <c r="L39" i="1"/>
  <c r="K39" i="1"/>
  <c r="J39" i="1"/>
  <c r="P39" i="1" s="1"/>
  <c r="I39" i="1"/>
  <c r="O38" i="1"/>
  <c r="N38" i="1"/>
  <c r="M38" i="1"/>
  <c r="L38" i="1"/>
  <c r="K38" i="1"/>
  <c r="J38" i="1"/>
  <c r="P38" i="1" s="1"/>
  <c r="I38" i="1"/>
  <c r="O37" i="1"/>
  <c r="N37" i="1"/>
  <c r="M37" i="1"/>
  <c r="L37" i="1"/>
  <c r="K37" i="1"/>
  <c r="J37" i="1"/>
  <c r="P37" i="1" s="1"/>
  <c r="I37" i="1"/>
  <c r="O36" i="1"/>
  <c r="N36" i="1"/>
  <c r="M36" i="1"/>
  <c r="L36" i="1"/>
  <c r="K36" i="1"/>
  <c r="J36" i="1"/>
  <c r="P36" i="1" s="1"/>
  <c r="I36" i="1"/>
  <c r="O35" i="1"/>
  <c r="N35" i="1"/>
  <c r="M35" i="1"/>
  <c r="L35" i="1"/>
  <c r="K35" i="1"/>
  <c r="J35" i="1"/>
  <c r="P35" i="1" s="1"/>
  <c r="I35" i="1"/>
  <c r="O34" i="1"/>
  <c r="N34" i="1"/>
  <c r="M34" i="1"/>
  <c r="L34" i="1"/>
  <c r="K34" i="1"/>
  <c r="J34" i="1"/>
  <c r="P34" i="1" s="1"/>
  <c r="I34" i="1"/>
  <c r="O33" i="1"/>
  <c r="N33" i="1"/>
  <c r="M33" i="1"/>
  <c r="L33" i="1"/>
  <c r="K33" i="1"/>
  <c r="J33" i="1"/>
  <c r="P33" i="1" s="1"/>
  <c r="I33" i="1"/>
  <c r="O32" i="1"/>
  <c r="N32" i="1"/>
  <c r="M32" i="1"/>
  <c r="L32" i="1"/>
  <c r="K32" i="1"/>
  <c r="J32" i="1"/>
  <c r="P32" i="1" s="1"/>
  <c r="I32" i="1"/>
  <c r="O31" i="1"/>
  <c r="N31" i="1"/>
  <c r="M31" i="1"/>
  <c r="L31" i="1"/>
  <c r="K31" i="1"/>
  <c r="J31" i="1"/>
  <c r="P31" i="1" s="1"/>
  <c r="I31" i="1"/>
  <c r="O30" i="1"/>
  <c r="N30" i="1"/>
  <c r="M30" i="1"/>
  <c r="L30" i="1"/>
  <c r="K30" i="1"/>
  <c r="J30" i="1"/>
  <c r="P30" i="1" s="1"/>
  <c r="I30" i="1"/>
  <c r="O29" i="1"/>
  <c r="N29" i="1"/>
  <c r="M29" i="1"/>
  <c r="L29" i="1"/>
  <c r="K29" i="1"/>
  <c r="J29" i="1"/>
  <c r="P29" i="1" s="1"/>
  <c r="I29" i="1"/>
  <c r="O28" i="1"/>
  <c r="N28" i="1"/>
  <c r="M28" i="1"/>
  <c r="L28" i="1"/>
  <c r="K28" i="1"/>
  <c r="J28" i="1"/>
  <c r="P28" i="1" s="1"/>
  <c r="I28" i="1"/>
  <c r="O27" i="1"/>
  <c r="N27" i="1"/>
  <c r="M27" i="1"/>
  <c r="L27" i="1"/>
  <c r="K27" i="1"/>
  <c r="J27" i="1"/>
  <c r="P27" i="1" s="1"/>
  <c r="I27" i="1"/>
  <c r="O26" i="1"/>
  <c r="N26" i="1"/>
  <c r="M26" i="1"/>
  <c r="L26" i="1"/>
  <c r="K26" i="1"/>
  <c r="J26" i="1"/>
  <c r="P26" i="1" s="1"/>
  <c r="I26" i="1"/>
  <c r="O25" i="1"/>
  <c r="N25" i="1"/>
  <c r="M25" i="1"/>
  <c r="L25" i="1"/>
  <c r="K25" i="1"/>
  <c r="J25" i="1"/>
  <c r="P25" i="1" s="1"/>
  <c r="I25" i="1"/>
  <c r="O24" i="1"/>
  <c r="N24" i="1"/>
  <c r="M24" i="1"/>
  <c r="L24" i="1"/>
  <c r="K24" i="1"/>
  <c r="J24" i="1"/>
  <c r="P24" i="1" s="1"/>
  <c r="I24" i="1"/>
  <c r="O23" i="1"/>
  <c r="N23" i="1"/>
  <c r="M23" i="1"/>
  <c r="L23" i="1"/>
  <c r="K23" i="1"/>
  <c r="J23" i="1"/>
  <c r="P23" i="1" s="1"/>
  <c r="I23" i="1"/>
  <c r="O22" i="1"/>
  <c r="N22" i="1"/>
  <c r="M22" i="1"/>
  <c r="L22" i="1"/>
  <c r="K22" i="1"/>
  <c r="J22" i="1"/>
  <c r="P22" i="1" s="1"/>
  <c r="I22" i="1"/>
  <c r="O21" i="1"/>
  <c r="N21" i="1"/>
  <c r="M21" i="1"/>
  <c r="L21" i="1"/>
  <c r="K21" i="1"/>
  <c r="J21" i="1"/>
  <c r="P21" i="1" s="1"/>
  <c r="I21" i="1"/>
  <c r="O20" i="1"/>
  <c r="N20" i="1"/>
  <c r="M20" i="1"/>
  <c r="L20" i="1"/>
  <c r="K20" i="1"/>
  <c r="J20" i="1"/>
  <c r="P20" i="1" s="1"/>
  <c r="I20" i="1"/>
  <c r="O19" i="1"/>
  <c r="N19" i="1"/>
  <c r="M19" i="1"/>
  <c r="L19" i="1"/>
  <c r="K19" i="1"/>
  <c r="J19" i="1"/>
  <c r="P19" i="1" s="1"/>
  <c r="I19" i="1"/>
  <c r="O18" i="1"/>
  <c r="N18" i="1"/>
  <c r="M18" i="1"/>
  <c r="L18" i="1"/>
  <c r="K18" i="1"/>
  <c r="J18" i="1"/>
  <c r="P18" i="1" s="1"/>
  <c r="I18" i="1"/>
  <c r="O17" i="1"/>
  <c r="N17" i="1"/>
  <c r="M17" i="1"/>
  <c r="L17" i="1"/>
  <c r="K17" i="1"/>
  <c r="J17" i="1"/>
  <c r="P17" i="1" s="1"/>
  <c r="I17" i="1"/>
  <c r="O16" i="1"/>
  <c r="N16" i="1"/>
  <c r="M16" i="1"/>
  <c r="L16" i="1"/>
  <c r="K16" i="1"/>
  <c r="J16" i="1"/>
  <c r="P16" i="1" s="1"/>
  <c r="I16" i="1"/>
  <c r="O15" i="1"/>
  <c r="N15" i="1"/>
  <c r="M15" i="1"/>
  <c r="L15" i="1"/>
  <c r="K15" i="1"/>
  <c r="J15" i="1"/>
  <c r="P15" i="1" s="1"/>
  <c r="I15" i="1"/>
  <c r="O14" i="1"/>
  <c r="N14" i="1"/>
  <c r="M14" i="1"/>
  <c r="L14" i="1"/>
  <c r="K14" i="1"/>
  <c r="J14" i="1"/>
  <c r="P14" i="1" s="1"/>
  <c r="I14" i="1"/>
  <c r="O13" i="1"/>
  <c r="N13" i="1"/>
  <c r="M13" i="1"/>
  <c r="L13" i="1"/>
  <c r="K13" i="1"/>
  <c r="J13" i="1"/>
  <c r="P13" i="1" s="1"/>
  <c r="I13" i="1"/>
  <c r="O12" i="1"/>
  <c r="N12" i="1"/>
  <c r="M12" i="1"/>
  <c r="L12" i="1"/>
  <c r="K12" i="1"/>
  <c r="J12" i="1"/>
  <c r="P12" i="1" s="1"/>
  <c r="I12" i="1"/>
  <c r="O11" i="1"/>
  <c r="N11" i="1"/>
  <c r="M11" i="1"/>
  <c r="L11" i="1"/>
  <c r="K11" i="1"/>
  <c r="J11" i="1"/>
  <c r="P11" i="1" s="1"/>
  <c r="I11" i="1"/>
  <c r="O10" i="1"/>
  <c r="N10" i="1"/>
  <c r="M10" i="1"/>
  <c r="L10" i="1"/>
  <c r="K10" i="1"/>
  <c r="J10" i="1"/>
  <c r="P10" i="1" s="1"/>
  <c r="I10" i="1"/>
  <c r="O9" i="1"/>
  <c r="N9" i="1"/>
  <c r="M9" i="1"/>
  <c r="L9" i="1"/>
  <c r="K9" i="1"/>
  <c r="J9" i="1"/>
  <c r="P9" i="1" s="1"/>
  <c r="I9" i="1"/>
  <c r="O8" i="1"/>
  <c r="N8" i="1"/>
  <c r="M8" i="1"/>
  <c r="L8" i="1"/>
  <c r="K8" i="1"/>
  <c r="J8" i="1"/>
  <c r="P8" i="1" s="1"/>
  <c r="I8" i="1"/>
  <c r="O7" i="1"/>
  <c r="N7" i="1"/>
  <c r="M7" i="1"/>
  <c r="L7" i="1"/>
  <c r="K7" i="1"/>
  <c r="J7" i="1"/>
  <c r="P7" i="1" s="1"/>
  <c r="I7" i="1"/>
  <c r="O6" i="1"/>
  <c r="N6" i="1"/>
  <c r="M6" i="1"/>
  <c r="L6" i="1"/>
  <c r="K6" i="1"/>
  <c r="J6" i="1"/>
  <c r="P6" i="1" s="1"/>
  <c r="I6" i="1"/>
  <c r="O5" i="1"/>
  <c r="N5" i="1"/>
  <c r="M5" i="1"/>
  <c r="L5" i="1"/>
  <c r="K5" i="1"/>
  <c r="J5" i="1"/>
  <c r="P5" i="1" s="1"/>
  <c r="I5" i="1"/>
  <c r="P80" i="1" l="1"/>
  <c r="P88" i="1"/>
  <c r="P96" i="1"/>
  <c r="P104" i="1"/>
  <c r="P112" i="1"/>
  <c r="P120" i="1"/>
  <c r="P128" i="1"/>
  <c r="P136" i="1"/>
  <c r="P144" i="1"/>
  <c r="P152" i="1"/>
  <c r="P79" i="1"/>
  <c r="P87" i="1"/>
  <c r="P95" i="1"/>
  <c r="P103" i="1"/>
  <c r="P111" i="1"/>
  <c r="P119" i="1"/>
  <c r="P127" i="1"/>
  <c r="P135" i="1"/>
  <c r="P143" i="1"/>
  <c r="P151" i="1"/>
  <c r="P78" i="1"/>
  <c r="P86" i="1"/>
  <c r="P94" i="1"/>
  <c r="P102" i="1"/>
  <c r="P110" i="1"/>
  <c r="P118" i="1"/>
  <c r="P126" i="1"/>
  <c r="P134" i="1"/>
  <c r="P142" i="1"/>
  <c r="P150" i="1"/>
  <c r="P77" i="1"/>
  <c r="P85" i="1"/>
  <c r="P93" i="1"/>
  <c r="P101" i="1"/>
  <c r="P109" i="1"/>
  <c r="P117" i="1"/>
  <c r="P125" i="1"/>
  <c r="P133" i="1"/>
  <c r="P141" i="1"/>
  <c r="P149" i="1"/>
  <c r="P76" i="1"/>
  <c r="P84" i="1"/>
  <c r="P92" i="1"/>
  <c r="P100" i="1"/>
  <c r="P108" i="1"/>
  <c r="P116" i="1"/>
  <c r="P124" i="1"/>
  <c r="P132" i="1"/>
  <c r="P140" i="1"/>
  <c r="P148" i="1"/>
  <c r="P81" i="1"/>
  <c r="P89" i="1"/>
  <c r="P97" i="1"/>
  <c r="P105" i="1"/>
  <c r="P113" i="1"/>
  <c r="P129" i="1"/>
  <c r="P137" i="1"/>
  <c r="P145" i="1"/>
</calcChain>
</file>

<file path=xl/sharedStrings.xml><?xml version="1.0" encoding="utf-8"?>
<sst xmlns="http://schemas.openxmlformats.org/spreadsheetml/2006/main" count="335" uniqueCount="204">
  <si>
    <t>Supplementary Table S4: Growth rate change of cell lines by bacterial secretomes</t>
  </si>
  <si>
    <t>Secretomes</t>
  </si>
  <si>
    <t>growth rates</t>
  </si>
  <si>
    <t>growth rates (z-scores)</t>
  </si>
  <si>
    <t>p-values</t>
  </si>
  <si>
    <t>Bacteria</t>
  </si>
  <si>
    <t>Family</t>
  </si>
  <si>
    <t>Caco2</t>
  </si>
  <si>
    <t>HT29</t>
  </si>
  <si>
    <t>HCT15</t>
  </si>
  <si>
    <t>SW480</t>
  </si>
  <si>
    <t>HEK293T</t>
  </si>
  <si>
    <t>HCT116</t>
  </si>
  <si>
    <t xml:space="preserve">Average </t>
  </si>
  <si>
    <t>Caco2-z</t>
  </si>
  <si>
    <t>HT29-z</t>
  </si>
  <si>
    <t>HCT15-z</t>
  </si>
  <si>
    <t>SW480-z</t>
  </si>
  <si>
    <t>HEK293T-z</t>
  </si>
  <si>
    <t>HCT116-z</t>
  </si>
  <si>
    <t>Average</t>
  </si>
  <si>
    <t>Caco2-p</t>
  </si>
  <si>
    <t>HT29-p</t>
  </si>
  <si>
    <t>HCT15-p</t>
  </si>
  <si>
    <t>SW480-p</t>
  </si>
  <si>
    <t>HEK293T-p</t>
  </si>
  <si>
    <t>HCT116-p</t>
  </si>
  <si>
    <t>Acidaminococcus sp. D21</t>
  </si>
  <si>
    <t>Acidaminococcaceae</t>
  </si>
  <si>
    <t>Akkermansia muciniphila</t>
  </si>
  <si>
    <t>Akkermansiaceae</t>
  </si>
  <si>
    <t>Bacillus smithii 7_3_47FAA</t>
  </si>
  <si>
    <t>Bacillaceae</t>
  </si>
  <si>
    <t>Bacteroides massiliensis 3972 T(B)2</t>
  </si>
  <si>
    <t>Bacteroidaceae</t>
  </si>
  <si>
    <t>Bacteroides ovatus 3725 D9 iii</t>
  </si>
  <si>
    <t>Bacteroides stercoris 4009 N(B)17</t>
  </si>
  <si>
    <t>Bacteroides uniformis 3978 T3ii</t>
  </si>
  <si>
    <t>Bacteroides uniformis 3978 T3i</t>
  </si>
  <si>
    <t>Bacteroides stercoris 3972 D14 (B)</t>
  </si>
  <si>
    <t>Bacteroides fragilis 9343 delta tsr 15 M4</t>
  </si>
  <si>
    <t>Bacteroides ovatus S47R17</t>
  </si>
  <si>
    <t>Bacteroides thetaiotaomicron VPI5482</t>
  </si>
  <si>
    <t>Bacteroides vulgatus 3975 RP4</t>
  </si>
  <si>
    <t>Bacteroides fragilis 9343 delta cap delta pilus 77</t>
  </si>
  <si>
    <t>Bacteroides fragilis NCTC 9343 (NTBF)</t>
  </si>
  <si>
    <t>Bacteroides vulgatus 3775 SL(B)10iv</t>
  </si>
  <si>
    <t>Bacteroides fragilis VPI clinda R (ETBF)</t>
  </si>
  <si>
    <t>Bacteroides fragilis 86-5443-2-2 (ETBF)</t>
  </si>
  <si>
    <t>Bacteroides fragilis 9343 delta cap</t>
  </si>
  <si>
    <t>Bacteroides sp. 3_2_5</t>
  </si>
  <si>
    <t>Bacteroides sp. 3_1_23</t>
  </si>
  <si>
    <t>Bacteroides sp. D2</t>
  </si>
  <si>
    <t>Bacteroides fragilis K570 clinda R (ETBF)</t>
  </si>
  <si>
    <t>Bacteroides sp. D22</t>
  </si>
  <si>
    <t>Bacteroides fragilis 3_1_12</t>
  </si>
  <si>
    <t>Bacteroides sp. 2_1_56FAA</t>
  </si>
  <si>
    <t>Bacteroides sp. 2_1_33B</t>
  </si>
  <si>
    <t>Bacteroides sp. 2_2_4</t>
  </si>
  <si>
    <t>Bacteroides sp. 4_3_47FAA</t>
  </si>
  <si>
    <t>Bacteroides sp. 2_1_22</t>
  </si>
  <si>
    <t>Bacteroides sp. 3_1_33FAA</t>
  </si>
  <si>
    <t>Bacteroides sp. 3_1_19</t>
  </si>
  <si>
    <t>Bacteroides eggerthii 1_2_48FAA</t>
  </si>
  <si>
    <t>Bacteroides sp. D1</t>
  </si>
  <si>
    <t>Bacteroides sp. 1_1_14</t>
  </si>
  <si>
    <t>Bacteroides ovatus 3_8_47FAA</t>
  </si>
  <si>
    <t>Bacteroides sp. 1_1_6</t>
  </si>
  <si>
    <t>Bacteroides sp. 1_1_30</t>
  </si>
  <si>
    <t>Bacteroides sp. 3_1_40A</t>
  </si>
  <si>
    <t>Bacteroides sp. 9_1_42FAA</t>
  </si>
  <si>
    <t>Bacteroides sp. 4_1_36</t>
  </si>
  <si>
    <t>Bacteroides sp. D20</t>
  </si>
  <si>
    <t>Bacteroides sp. 2_1_16</t>
  </si>
  <si>
    <t>Bacteroides dorei 5_1_36/D4</t>
  </si>
  <si>
    <t>Bifidobacterium sp. 12_1_47BFAA</t>
  </si>
  <si>
    <t>Bifidobacteriaceae</t>
  </si>
  <si>
    <t>Ralstonia sp. 5_2_56FAA</t>
  </si>
  <si>
    <t>Burkholderiaceae</t>
  </si>
  <si>
    <t>Ralstonia sp. 5_7_47FAA</t>
  </si>
  <si>
    <t>Clostridium septicum (Mace 1889) Ford 1927</t>
  </si>
  <si>
    <t>Clostridiaceae</t>
  </si>
  <si>
    <t>Clostridium sp. 7_3_54FAA</t>
  </si>
  <si>
    <t>Clostridium perfringens WAL-14572</t>
  </si>
  <si>
    <t>Clostridium sp. 7_2_43FAA</t>
  </si>
  <si>
    <t>Clostridium hathewayi WAL-18680</t>
  </si>
  <si>
    <t>Clostridium sp. D5</t>
  </si>
  <si>
    <t>Desulfovibrio sp. 6_1_46AFAA</t>
  </si>
  <si>
    <t>Desulfovibrionaceae</t>
  </si>
  <si>
    <t>Desulfovibrio sp. 3_1_syn3</t>
  </si>
  <si>
    <t>Escherichia coli NC101</t>
  </si>
  <si>
    <t>Enterobacteriaceae</t>
  </si>
  <si>
    <t>Escherichia coli NC101 delta pks</t>
  </si>
  <si>
    <t>Escherichia coli PL1</t>
  </si>
  <si>
    <t>Escherichia coli DH5 alpha pks</t>
  </si>
  <si>
    <t>Citrobacter freundii 4_7_47CFAA</t>
  </si>
  <si>
    <t>Klebsiella sp. 4_1_44FAA</t>
  </si>
  <si>
    <t>Escherichia coli Nissle 1917</t>
  </si>
  <si>
    <t>Citrobacter sp. 30_2</t>
  </si>
  <si>
    <t>Escherichia sp. 3_2_53FAA</t>
  </si>
  <si>
    <t>Escherichia sp. 4_1_40B</t>
  </si>
  <si>
    <t>Escherichia sp. 1_1_43</t>
  </si>
  <si>
    <t>Enterobacteriaceae bacterium 9_2_54FAA</t>
  </si>
  <si>
    <t>Escherichia coli D9</t>
  </si>
  <si>
    <t>Klebsiella sp. 1_1_55</t>
  </si>
  <si>
    <t>Escherichia coli 4_1_47FAA</t>
  </si>
  <si>
    <t>Enterococcus saccharolyticus 30_1</t>
  </si>
  <si>
    <t>Enterococcaceae</t>
  </si>
  <si>
    <t>Erysipelotrichaceae bacterium 21_3</t>
  </si>
  <si>
    <t>Erysipelotrichaceae</t>
  </si>
  <si>
    <t>Erysipelotrichaceae bacterium 6_1_45</t>
  </si>
  <si>
    <t>Coprobacillus sp. 29_1</t>
  </si>
  <si>
    <t>Coprobacillus sp. 8_2_54BFAA</t>
  </si>
  <si>
    <t>Coprobacillus sp. 3_3_56FAA</t>
  </si>
  <si>
    <t>Coprobacillus sp. D7</t>
  </si>
  <si>
    <t>Eubacterium sp. 3_1_31</t>
  </si>
  <si>
    <t>Eubacteriaceae</t>
  </si>
  <si>
    <t>Fusobacterium nucleatum subsp. animalis 11_3_2</t>
  </si>
  <si>
    <t>Fusobacteriaceae</t>
  </si>
  <si>
    <t>Fusobacterium periodonticum 2_1_31</t>
  </si>
  <si>
    <t>Fusobacterium gonidiaformans 3-1-5R</t>
  </si>
  <si>
    <t>Fusobacterium nucleatum subsp. animalis 7_1</t>
  </si>
  <si>
    <t>Fusobacterium periodonticum 1_1_41FAA</t>
  </si>
  <si>
    <t>Fusobacterium nucleatum subsp. vincentii 3_1_36A2</t>
  </si>
  <si>
    <t>Fusobacterium nucleatum subsp. Nucleatum ATCC 25586</t>
  </si>
  <si>
    <t>Fusobacterium ulcerans 12-1B</t>
  </si>
  <si>
    <t>Fusobacterium nucleatum subsp. Polymorphum ATCC 10953</t>
  </si>
  <si>
    <t>Fusobacterium nucleatum subsp. animalis 3_1_33</t>
  </si>
  <si>
    <t>Fusobacterium nucleatum subsp. vincentii 4_1_13</t>
  </si>
  <si>
    <t>Fusobacterium nucleatum subsp. animalis 21_1A</t>
  </si>
  <si>
    <t>Fusobacterium necrophorum subsp. funduliforme 1_1_36S</t>
  </si>
  <si>
    <t>Fusobacterium nucleatum subsp. animalis D11</t>
  </si>
  <si>
    <t>Fusobacterium nucleatum subsp. vincentii 3_1_27</t>
  </si>
  <si>
    <t>Fusobacterium necrophorum D12</t>
  </si>
  <si>
    <t>Anaerostipes sp. 3_2_56FAA</t>
  </si>
  <si>
    <t>Lachnospiraceae</t>
  </si>
  <si>
    <t>Clostridium symbiosum WAL-14673</t>
  </si>
  <si>
    <t>Clostridium symbiosum WAL-14163</t>
  </si>
  <si>
    <t>Clostridium clostridioforme 2_1_49FAA</t>
  </si>
  <si>
    <t>Lachnospiraceae bacterium 2_1_46FAA</t>
  </si>
  <si>
    <t>Lachnospiraceae bacterium 5_1_63FAA</t>
  </si>
  <si>
    <t>Dorea formicigenerans 4_6_53AFAA</t>
  </si>
  <si>
    <t>Lachnospiraceae bacterium 5_1_57FAA</t>
  </si>
  <si>
    <t>Lachnospiraceae bacterium 9_1_43BFAA</t>
  </si>
  <si>
    <t>Lachnospiraceae bacterium 2_1_58FAA</t>
  </si>
  <si>
    <t>Lachnospiraceae bacterium 8_1_57FAA</t>
  </si>
  <si>
    <t>Lachnospiraceae bacterium 3_1_46FAA</t>
  </si>
  <si>
    <t>Lachnospiraceae bacterium 3_1_57FAA_CT1</t>
  </si>
  <si>
    <t>Lachnospiraceae bacterium 1_1_57FAA</t>
  </si>
  <si>
    <t>Lachnospiraceae bacterium 4_1_37FAA</t>
  </si>
  <si>
    <t>Lactobacillus casei Shirota</t>
  </si>
  <si>
    <t>Lactobacillaceae</t>
  </si>
  <si>
    <t>Pediococcus acidilactici 7_4</t>
  </si>
  <si>
    <t>Clostridioides difficile (Prévot 1938) Lawson et al. 2016</t>
  </si>
  <si>
    <t>Peptostreptococcaceae</t>
  </si>
  <si>
    <t>Peptostreptococcus stomatis DSM17678</t>
  </si>
  <si>
    <t>Propionibacterium sp. 5_U_42AFAA</t>
  </si>
  <si>
    <t>Propionibacteriaceae</t>
  </si>
  <si>
    <t>Pseudomonas sp. 2_1_26</t>
  </si>
  <si>
    <t>Pseudomonadaceae</t>
  </si>
  <si>
    <t>Ruminococcaceae bacterium D16</t>
  </si>
  <si>
    <t>Ruminococcaceae</t>
  </si>
  <si>
    <t>Streptococcus gallolyticus NTB12</t>
  </si>
  <si>
    <t>Streptococcaceae</t>
  </si>
  <si>
    <t>Streptococcus salivarius NTB2</t>
  </si>
  <si>
    <t>Streptococcus bovis 1293</t>
  </si>
  <si>
    <t>Streptococcus macedonicus 33MO</t>
  </si>
  <si>
    <t>Streptococcus agalactiae ATCC 13813</t>
  </si>
  <si>
    <t>Streptococcus macedonicus CIP105685T</t>
  </si>
  <si>
    <t>Streptococcus gallolyticus 9L-1503 1121 L</t>
  </si>
  <si>
    <t>Streptococcus macedonicus 8SP</t>
  </si>
  <si>
    <t>Streptococcus gallolyticus NTB1</t>
  </si>
  <si>
    <t>Streptococcus gallolyticus UCN50</t>
  </si>
  <si>
    <t>Streptococcus macedonicus 19AS</t>
  </si>
  <si>
    <t>Streptococcus bovis 1212</t>
  </si>
  <si>
    <t>Streptococcus bovis 1294</t>
  </si>
  <si>
    <t>Streptococcus bovis NTB22</t>
  </si>
  <si>
    <t>Streptococcus bovis 1459</t>
  </si>
  <si>
    <t>Streptococcus bovis 1361</t>
  </si>
  <si>
    <t>Streptococcus gallolyticus UCN34</t>
  </si>
  <si>
    <t>Streptococcus bovis 207</t>
  </si>
  <si>
    <t>Streptococcus gallolyticus subsp. macedonicus NTB3</t>
  </si>
  <si>
    <t>Streptococcus macedonicus ACA-DC 205</t>
  </si>
  <si>
    <t>Streptococcus bovis 1417</t>
  </si>
  <si>
    <t>Streptococcus bovis 1365</t>
  </si>
  <si>
    <t>Streptococcus bovis NCTC8133</t>
  </si>
  <si>
    <t>Streptococcus bovis 1445</t>
  </si>
  <si>
    <t>Streptococcus gallolyticus NTB11</t>
  </si>
  <si>
    <t>Streptococcus bovis 1364</t>
  </si>
  <si>
    <t>Streptococcus bovis 1067</t>
  </si>
  <si>
    <t>Streptococcus gallolyticus NTB4</t>
  </si>
  <si>
    <t>Streptococcus bovis NTB7</t>
  </si>
  <si>
    <t>Streptococcus bovis 992</t>
  </si>
  <si>
    <t>Streptococcus sp. 2_1_36FAA</t>
  </si>
  <si>
    <t>Synergistes sp. 3_1_syn1</t>
  </si>
  <si>
    <t>Synergistaceae</t>
  </si>
  <si>
    <t>Parabacteroides distasonis 3999B T(B)4</t>
  </si>
  <si>
    <t>Tannerellaceae</t>
  </si>
  <si>
    <t>Parabacteroides distasonis 3776 Po2 i</t>
  </si>
  <si>
    <t>Parabacteroides sp. 20_3</t>
  </si>
  <si>
    <t>Parabacteroides sp. 2_1_7</t>
  </si>
  <si>
    <t>Parabacteroides sp. D13</t>
  </si>
  <si>
    <t>Veillonella sp. 3_1_44</t>
  </si>
  <si>
    <t>Veillonellaceae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</si>
</sst>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12"/>
      <color rgb="FF000000"/>
      <name val="Arial"/>
    </font>
    <font>
      <b/>
      <sz val="12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sz val="10"/>
      <color rgb="FF1F497D"/>
      <name val="Arial"/>
    </font>
    <font>
      <sz val="10"/>
      <color theme="1"/>
      <name val="Arial"/>
    </font>
    <font>
      <sz val="9"/>
      <color rgb="FF1F497D"/>
      <name val="Arial"/>
    </font>
    <font>
      <b/>
      <sz val="11"/>
      <color theme="1"/>
      <name val="Calibri"/>
    </font>
  </fonts>
  <fills count="268">
    <fill>
      <patternFill patternType="none"/>
    </fill>
    <fill>
      <patternFill patternType="gray125"/>
    </fill>
    <fill>
      <patternFill patternType="solid">
        <fgColor rgb="FFFFF2F2"/>
        <bgColor rgb="FFFFF2F2"/>
      </patternFill>
    </fill>
    <fill>
      <patternFill patternType="solid">
        <fgColor rgb="FFEBF6FE"/>
        <bgColor rgb="FFEBF6FE"/>
      </patternFill>
    </fill>
    <fill>
      <patternFill patternType="solid">
        <fgColor rgb="FFFFC2C2"/>
        <bgColor rgb="FFFFC2C2"/>
      </patternFill>
    </fill>
    <fill>
      <patternFill patternType="solid">
        <fgColor rgb="FFCDE7FB"/>
        <bgColor rgb="FFCDE7FB"/>
      </patternFill>
    </fill>
    <fill>
      <patternFill patternType="solid">
        <fgColor rgb="FFFFAFAF"/>
        <bgColor rgb="FFFFAFAF"/>
      </patternFill>
    </fill>
    <fill>
      <patternFill patternType="solid">
        <fgColor rgb="FFE4F2FD"/>
        <bgColor rgb="FFE4F2FD"/>
      </patternFill>
    </fill>
    <fill>
      <patternFill patternType="solid">
        <fgColor rgb="FFFFF0F0"/>
        <bgColor rgb="FFFFF0F0"/>
      </patternFill>
    </fill>
    <fill>
      <patternFill patternType="solid">
        <fgColor rgb="FFCFE8FB"/>
        <bgColor rgb="FFCFE8FB"/>
      </patternFill>
    </fill>
    <fill>
      <patternFill patternType="solid">
        <fgColor rgb="FFFFDFDF"/>
        <bgColor rgb="FFFFDFDF"/>
      </patternFill>
    </fill>
    <fill>
      <patternFill patternType="solid">
        <fgColor rgb="FFFFF7F7"/>
        <bgColor rgb="FFFFF7F7"/>
      </patternFill>
    </fill>
    <fill>
      <patternFill patternType="solid">
        <fgColor rgb="FFFFE9E9"/>
        <bgColor rgb="FFFFE9E9"/>
      </patternFill>
    </fill>
    <fill>
      <patternFill patternType="solid">
        <fgColor rgb="FFF8FCFF"/>
        <bgColor rgb="FFF8FCFF"/>
      </patternFill>
    </fill>
    <fill>
      <patternFill patternType="solid">
        <fgColor rgb="FFFFF1F1"/>
        <bgColor rgb="FFFFF1F1"/>
      </patternFill>
    </fill>
    <fill>
      <patternFill patternType="solid">
        <fgColor rgb="FFFFFCFC"/>
        <bgColor rgb="FFFFFCFC"/>
      </patternFill>
    </fill>
    <fill>
      <patternFill patternType="solid">
        <fgColor rgb="FFFFE1E1"/>
        <bgColor rgb="FFFFE1E1"/>
      </patternFill>
    </fill>
    <fill>
      <patternFill patternType="solid">
        <fgColor rgb="FFFBFDFF"/>
        <bgColor rgb="FFFBFDFF"/>
      </patternFill>
    </fill>
    <fill>
      <patternFill patternType="solid">
        <fgColor rgb="FFFF5F5F"/>
        <bgColor rgb="FFFF5F5F"/>
      </patternFill>
    </fill>
    <fill>
      <patternFill patternType="solid">
        <fgColor rgb="FFFFB5B5"/>
        <bgColor rgb="FFFFB5B5"/>
      </patternFill>
    </fill>
    <fill>
      <patternFill patternType="solid">
        <fgColor rgb="FFFFC6C6"/>
        <bgColor rgb="FFFFC6C6"/>
      </patternFill>
    </fill>
    <fill>
      <patternFill patternType="solid">
        <fgColor rgb="FFFFE6E6"/>
        <bgColor rgb="FFFFE6E6"/>
      </patternFill>
    </fill>
    <fill>
      <patternFill patternType="solid">
        <fgColor rgb="FFFFA9A9"/>
        <bgColor rgb="FFFFA9A9"/>
      </patternFill>
    </fill>
    <fill>
      <patternFill patternType="solid">
        <fgColor rgb="FFFCFEFF"/>
        <bgColor rgb="FFFCFEFF"/>
      </patternFill>
    </fill>
    <fill>
      <patternFill patternType="solid">
        <fgColor rgb="FFB6DCF8"/>
        <bgColor rgb="FFB6DCF8"/>
      </patternFill>
    </fill>
    <fill>
      <patternFill patternType="solid">
        <fgColor rgb="FFFFE8E8"/>
        <bgColor rgb="FFFFE8E8"/>
      </patternFill>
    </fill>
    <fill>
      <patternFill patternType="solid">
        <fgColor rgb="FFFFEBEB"/>
        <bgColor rgb="FFFFEBEB"/>
      </patternFill>
    </fill>
    <fill>
      <patternFill patternType="solid">
        <fgColor rgb="FFFFFBFB"/>
        <bgColor rgb="FFFFFBFB"/>
      </patternFill>
    </fill>
    <fill>
      <patternFill patternType="solid">
        <fgColor rgb="FFFFF3F3"/>
        <bgColor rgb="FFFFF3F3"/>
      </patternFill>
    </fill>
    <fill>
      <patternFill patternType="solid">
        <fgColor rgb="FF7FC1F3"/>
        <bgColor rgb="FF7FC1F3"/>
      </patternFill>
    </fill>
    <fill>
      <patternFill patternType="solid">
        <fgColor rgb="FFFFD6D6"/>
        <bgColor rgb="FFFFD6D6"/>
      </patternFill>
    </fill>
    <fill>
      <patternFill patternType="solid">
        <fgColor rgb="FFFFF4F4"/>
        <bgColor rgb="FFFFF4F4"/>
      </patternFill>
    </fill>
    <fill>
      <patternFill patternType="solid">
        <fgColor rgb="FF96CCF5"/>
        <bgColor rgb="FF96CCF5"/>
      </patternFill>
    </fill>
    <fill>
      <patternFill patternType="solid">
        <fgColor rgb="FFB4DBF8"/>
        <bgColor rgb="FFB4DBF8"/>
      </patternFill>
    </fill>
    <fill>
      <patternFill patternType="solid">
        <fgColor rgb="FFD9EDFC"/>
        <bgColor rgb="FFD9EDFC"/>
      </patternFill>
    </fill>
    <fill>
      <patternFill patternType="solid">
        <fgColor rgb="FFD3EAFB"/>
        <bgColor rgb="FFD3EAFB"/>
      </patternFill>
    </fill>
    <fill>
      <patternFill patternType="solid">
        <fgColor rgb="FFFFEFEF"/>
        <bgColor rgb="FFFFEFEF"/>
      </patternFill>
    </fill>
    <fill>
      <patternFill patternType="solid">
        <fgColor rgb="FFFDFEFF"/>
        <bgColor rgb="FFFDFEFF"/>
      </patternFill>
    </fill>
    <fill>
      <patternFill patternType="solid">
        <fgColor rgb="FFFFF8F8"/>
        <bgColor rgb="FFFFF8F8"/>
      </patternFill>
    </fill>
    <fill>
      <patternFill patternType="solid">
        <fgColor rgb="FFFFE4E4"/>
        <bgColor rgb="FFFFE4E4"/>
      </patternFill>
    </fill>
    <fill>
      <patternFill patternType="solid">
        <fgColor rgb="FFC0E1F9"/>
        <bgColor rgb="FFC0E1F9"/>
      </patternFill>
    </fill>
    <fill>
      <patternFill patternType="solid">
        <fgColor rgb="FFF1F8FE"/>
        <bgColor rgb="FFF1F8FE"/>
      </patternFill>
    </fill>
    <fill>
      <patternFill patternType="solid">
        <fgColor rgb="FFF7FBFF"/>
        <bgColor rgb="FFF7FBFF"/>
      </patternFill>
    </fill>
    <fill>
      <patternFill patternType="solid">
        <fgColor rgb="FFD6EBFB"/>
        <bgColor rgb="FFD6EBFB"/>
      </patternFill>
    </fill>
    <fill>
      <patternFill patternType="solid">
        <fgColor rgb="FFFFCBCB"/>
        <bgColor rgb="FFFFCBCB"/>
      </patternFill>
    </fill>
    <fill>
      <patternFill patternType="solid">
        <fgColor rgb="FFD4EAFB"/>
        <bgColor rgb="FFD4EAFB"/>
      </patternFill>
    </fill>
    <fill>
      <patternFill patternType="solid">
        <fgColor rgb="FFFFFFFF"/>
        <bgColor rgb="FFFFFFFF"/>
      </patternFill>
    </fill>
    <fill>
      <patternFill patternType="solid">
        <fgColor rgb="FFD0E8FB"/>
        <bgColor rgb="FFD0E8FB"/>
      </patternFill>
    </fill>
    <fill>
      <patternFill patternType="solid">
        <fgColor rgb="FFFFA2A2"/>
        <bgColor rgb="FFFFA2A2"/>
      </patternFill>
    </fill>
    <fill>
      <patternFill patternType="solid">
        <fgColor rgb="FFA2D2F6"/>
        <bgColor rgb="FFA2D2F6"/>
      </patternFill>
    </fill>
    <fill>
      <patternFill patternType="solid">
        <fgColor rgb="FFCEE7FB"/>
        <bgColor rgb="FFCEE7FB"/>
      </patternFill>
    </fill>
    <fill>
      <patternFill patternType="solid">
        <fgColor rgb="FFC8E5FA"/>
        <bgColor rgb="FFC8E5FA"/>
      </patternFill>
    </fill>
    <fill>
      <patternFill patternType="solid">
        <fgColor rgb="FFBCDFF9"/>
        <bgColor rgb="FFBCDFF9"/>
      </patternFill>
    </fill>
    <fill>
      <patternFill patternType="solid">
        <fgColor rgb="FFFFD4D4"/>
        <bgColor rgb="FFFFD4D4"/>
      </patternFill>
    </fill>
    <fill>
      <patternFill patternType="solid">
        <fgColor rgb="FFAED8F8"/>
        <bgColor rgb="FFAED8F8"/>
      </patternFill>
    </fill>
    <fill>
      <patternFill patternType="solid">
        <fgColor rgb="FFD5EBFB"/>
        <bgColor rgb="FFD5EBFB"/>
      </patternFill>
    </fill>
    <fill>
      <patternFill patternType="solid">
        <fgColor rgb="FFE6F3FD"/>
        <bgColor rgb="FFE6F3FD"/>
      </patternFill>
    </fill>
    <fill>
      <patternFill patternType="solid">
        <fgColor rgb="FFE5F3FD"/>
        <bgColor rgb="FFE5F3FD"/>
      </patternFill>
    </fill>
    <fill>
      <patternFill patternType="solid">
        <fgColor rgb="FFFFC3C3"/>
        <bgColor rgb="FFFFC3C3"/>
      </patternFill>
    </fill>
    <fill>
      <patternFill patternType="solid">
        <fgColor rgb="FFAFD8F8"/>
        <bgColor rgb="FFAFD8F8"/>
      </patternFill>
    </fill>
    <fill>
      <patternFill patternType="solid">
        <fgColor rgb="FFD6ECFB"/>
        <bgColor rgb="FFD6ECFB"/>
      </patternFill>
    </fill>
    <fill>
      <patternFill patternType="solid">
        <fgColor rgb="FFB5DCF8"/>
        <bgColor rgb="FFB5DCF8"/>
      </patternFill>
    </fill>
    <fill>
      <patternFill patternType="solid">
        <fgColor rgb="FFD1E9FB"/>
        <bgColor rgb="FFD1E9FB"/>
      </patternFill>
    </fill>
    <fill>
      <patternFill patternType="solid">
        <fgColor rgb="FFB8DDF9"/>
        <bgColor rgb="FFB8DDF9"/>
      </patternFill>
    </fill>
    <fill>
      <patternFill patternType="solid">
        <fgColor rgb="FFC9E5FA"/>
        <bgColor rgb="FFC9E5FA"/>
      </patternFill>
    </fill>
    <fill>
      <patternFill patternType="solid">
        <fgColor rgb="FFC4E2FA"/>
        <bgColor rgb="FFC4E2FA"/>
      </patternFill>
    </fill>
    <fill>
      <patternFill patternType="solid">
        <fgColor rgb="FFFFFAFA"/>
        <bgColor rgb="FFFFFAFA"/>
      </patternFill>
    </fill>
    <fill>
      <patternFill patternType="solid">
        <fgColor rgb="FFEEF7FE"/>
        <bgColor rgb="FFEEF7FE"/>
      </patternFill>
    </fill>
    <fill>
      <patternFill patternType="solid">
        <fgColor rgb="FFEFF8FE"/>
        <bgColor rgb="FFEFF8FE"/>
      </patternFill>
    </fill>
    <fill>
      <patternFill patternType="solid">
        <fgColor rgb="FFA3D3F6"/>
        <bgColor rgb="FFA3D3F6"/>
      </patternFill>
    </fill>
    <fill>
      <patternFill patternType="solid">
        <fgColor rgb="FFA8D5F7"/>
        <bgColor rgb="FFA8D5F7"/>
      </patternFill>
    </fill>
    <fill>
      <patternFill patternType="solid">
        <fgColor rgb="FFDAEDFC"/>
        <bgColor rgb="FFDAEDFC"/>
      </patternFill>
    </fill>
    <fill>
      <patternFill patternType="solid">
        <fgColor rgb="FFC5E3FA"/>
        <bgColor rgb="FFC5E3FA"/>
      </patternFill>
    </fill>
    <fill>
      <patternFill patternType="solid">
        <fgColor rgb="FFD2E9FB"/>
        <bgColor rgb="FFD2E9FB"/>
      </patternFill>
    </fill>
    <fill>
      <patternFill patternType="solid">
        <fgColor rgb="FF9FD1F6"/>
        <bgColor rgb="FF9FD1F6"/>
      </patternFill>
    </fill>
    <fill>
      <patternFill patternType="solid">
        <fgColor rgb="FFDDEFFC"/>
        <bgColor rgb="FFDDEFFC"/>
      </patternFill>
    </fill>
    <fill>
      <patternFill patternType="solid">
        <fgColor rgb="FFA5D4F7"/>
        <bgColor rgb="FFA5D4F7"/>
      </patternFill>
    </fill>
    <fill>
      <patternFill patternType="solid">
        <fgColor rgb="FFC2E2FA"/>
        <bgColor rgb="FFC2E2FA"/>
      </patternFill>
    </fill>
    <fill>
      <patternFill patternType="solid">
        <fgColor rgb="FF9ED0F6"/>
        <bgColor rgb="FF9ED0F6"/>
      </patternFill>
    </fill>
    <fill>
      <patternFill patternType="solid">
        <fgColor rgb="FFFFD9D9"/>
        <bgColor rgb="FFFFD9D9"/>
      </patternFill>
    </fill>
    <fill>
      <patternFill patternType="solid">
        <fgColor rgb="FFA3D2F6"/>
        <bgColor rgb="FFA3D2F6"/>
      </patternFill>
    </fill>
    <fill>
      <patternFill patternType="solid">
        <fgColor rgb="FFD8ECFC"/>
        <bgColor rgb="FFD8ECFC"/>
      </patternFill>
    </fill>
    <fill>
      <patternFill patternType="solid">
        <fgColor rgb="FFCBE6FA"/>
        <bgColor rgb="FFCBE6FA"/>
      </patternFill>
    </fill>
    <fill>
      <patternFill patternType="solid">
        <fgColor rgb="FFC7E4FA"/>
        <bgColor rgb="FFC7E4FA"/>
      </patternFill>
    </fill>
    <fill>
      <patternFill patternType="solid">
        <fgColor rgb="FFA7D4F7"/>
        <bgColor rgb="FFA7D4F7"/>
      </patternFill>
    </fill>
    <fill>
      <patternFill patternType="solid">
        <fgColor rgb="FFECF6FE"/>
        <bgColor rgb="FFECF6FE"/>
      </patternFill>
    </fill>
    <fill>
      <patternFill patternType="solid">
        <fgColor rgb="FF90CAF5"/>
        <bgColor rgb="FF90CAF5"/>
      </patternFill>
    </fill>
    <fill>
      <patternFill patternType="solid">
        <fgColor rgb="FFCCE6FA"/>
        <bgColor rgb="FFCCE6FA"/>
      </patternFill>
    </fill>
    <fill>
      <patternFill patternType="solid">
        <fgColor rgb="FFFFE5E5"/>
        <bgColor rgb="FFFFE5E5"/>
      </patternFill>
    </fill>
    <fill>
      <patternFill patternType="solid">
        <fgColor rgb="FF9DD0F6"/>
        <bgColor rgb="FF9DD0F6"/>
      </patternFill>
    </fill>
    <fill>
      <patternFill patternType="solid">
        <fgColor rgb="FFFFFEFE"/>
        <bgColor rgb="FFFFFEFE"/>
      </patternFill>
    </fill>
    <fill>
      <patternFill patternType="solid">
        <fgColor rgb="FFFFF5F5"/>
        <bgColor rgb="FFFFF5F5"/>
      </patternFill>
    </fill>
    <fill>
      <patternFill patternType="solid">
        <fgColor rgb="FFFFEEEE"/>
        <bgColor rgb="FFFFEEEE"/>
      </patternFill>
    </fill>
    <fill>
      <patternFill patternType="solid">
        <fgColor rgb="FFE8F4FD"/>
        <bgColor rgb="FFE8F4FD"/>
      </patternFill>
    </fill>
    <fill>
      <patternFill patternType="solid">
        <fgColor rgb="FFEBF5FD"/>
        <bgColor rgb="FFEBF5FD"/>
      </patternFill>
    </fill>
    <fill>
      <patternFill patternType="solid">
        <fgColor rgb="FFE9F5FD"/>
        <bgColor rgb="FFE9F5FD"/>
      </patternFill>
    </fill>
    <fill>
      <patternFill patternType="solid">
        <fgColor rgb="FFFFA6A6"/>
        <bgColor rgb="FFFFA6A6"/>
      </patternFill>
    </fill>
    <fill>
      <patternFill patternType="solid">
        <fgColor rgb="FFFFB1B1"/>
        <bgColor rgb="FFFFB1B1"/>
      </patternFill>
    </fill>
    <fill>
      <patternFill patternType="solid">
        <fgColor rgb="FFFFCFCF"/>
        <bgColor rgb="FFFFCFCF"/>
      </patternFill>
    </fill>
    <fill>
      <patternFill patternType="solid">
        <fgColor rgb="FFF1F9FE"/>
        <bgColor rgb="FFF1F9FE"/>
      </patternFill>
    </fill>
    <fill>
      <patternFill patternType="solid">
        <fgColor rgb="FFC1E1F9"/>
        <bgColor rgb="FFC1E1F9"/>
      </patternFill>
    </fill>
    <fill>
      <patternFill patternType="solid">
        <fgColor rgb="FF88C6F4"/>
        <bgColor rgb="FF88C6F4"/>
      </patternFill>
    </fill>
    <fill>
      <patternFill patternType="solid">
        <fgColor rgb="FFDBEEFC"/>
        <bgColor rgb="FFDBEEFC"/>
      </patternFill>
    </fill>
    <fill>
      <patternFill patternType="solid">
        <fgColor rgb="FF99CDF5"/>
        <bgColor rgb="FF99CDF5"/>
      </patternFill>
    </fill>
    <fill>
      <patternFill patternType="solid">
        <fgColor rgb="FFEFF7FE"/>
        <bgColor rgb="FFEFF7FE"/>
      </patternFill>
    </fill>
    <fill>
      <patternFill patternType="solid">
        <fgColor rgb="FFFEFFFF"/>
        <bgColor rgb="FFFEFFFF"/>
      </patternFill>
    </fill>
    <fill>
      <patternFill patternType="solid">
        <fgColor rgb="FFF0F8FE"/>
        <bgColor rgb="FFF0F8FE"/>
      </patternFill>
    </fill>
    <fill>
      <patternFill patternType="solid">
        <fgColor rgb="FFFFC8C8"/>
        <bgColor rgb="FFFFC8C8"/>
      </patternFill>
    </fill>
    <fill>
      <patternFill patternType="solid">
        <fgColor rgb="FFFFD2D2"/>
        <bgColor rgb="FFFFD2D2"/>
      </patternFill>
    </fill>
    <fill>
      <patternFill patternType="solid">
        <fgColor rgb="FFFFF9F9"/>
        <bgColor rgb="FFFFF9F9"/>
      </patternFill>
    </fill>
    <fill>
      <patternFill patternType="solid">
        <fgColor rgb="FFE7F4FD"/>
        <bgColor rgb="FFE7F4FD"/>
      </patternFill>
    </fill>
    <fill>
      <patternFill patternType="solid">
        <fgColor rgb="FFFFFDFD"/>
        <bgColor rgb="FFFFFDFD"/>
      </patternFill>
    </fill>
    <fill>
      <patternFill patternType="solid">
        <fgColor rgb="FFDFF0FC"/>
        <bgColor rgb="FFDFF0FC"/>
      </patternFill>
    </fill>
    <fill>
      <patternFill patternType="solid">
        <fgColor rgb="FFE1F1FD"/>
        <bgColor rgb="FFE1F1FD"/>
      </patternFill>
    </fill>
    <fill>
      <patternFill patternType="solid">
        <fgColor rgb="FFBBDEF9"/>
        <bgColor rgb="FFBBDEF9"/>
      </patternFill>
    </fill>
    <fill>
      <patternFill patternType="solid">
        <fgColor rgb="FFCCE7FA"/>
        <bgColor rgb="FFCCE7FA"/>
      </patternFill>
    </fill>
    <fill>
      <patternFill patternType="solid">
        <fgColor rgb="FFF5FAFE"/>
        <bgColor rgb="FFF5FAFE"/>
      </patternFill>
    </fill>
    <fill>
      <patternFill patternType="solid">
        <fgColor rgb="FFBADEF9"/>
        <bgColor rgb="FFBADEF9"/>
      </patternFill>
    </fill>
    <fill>
      <patternFill patternType="solid">
        <fgColor rgb="FFE9F4FD"/>
        <bgColor rgb="FFE9F4FD"/>
      </patternFill>
    </fill>
    <fill>
      <patternFill patternType="solid">
        <fgColor rgb="FFA6D4F7"/>
        <bgColor rgb="FFA6D4F7"/>
      </patternFill>
    </fill>
    <fill>
      <patternFill patternType="solid">
        <fgColor rgb="FFC3E2FA"/>
        <bgColor rgb="FFC3E2FA"/>
      </patternFill>
    </fill>
    <fill>
      <patternFill patternType="solid">
        <fgColor rgb="FFE0F0FC"/>
        <bgColor rgb="FFE0F0FC"/>
      </patternFill>
    </fill>
    <fill>
      <patternFill patternType="solid">
        <fgColor rgb="FFB3DAF8"/>
        <bgColor rgb="FFB3DAF8"/>
      </patternFill>
    </fill>
    <fill>
      <patternFill patternType="solid">
        <fgColor rgb="FFEDF6FE"/>
        <bgColor rgb="FFEDF6FE"/>
      </patternFill>
    </fill>
    <fill>
      <patternFill patternType="solid">
        <fgColor rgb="FFB7DCF8"/>
        <bgColor rgb="FFB7DCF8"/>
      </patternFill>
    </fill>
    <fill>
      <patternFill patternType="solid">
        <fgColor rgb="FFFFA5A5"/>
        <bgColor rgb="FFFFA5A5"/>
      </patternFill>
    </fill>
    <fill>
      <patternFill patternType="solid">
        <fgColor rgb="FFFFC9C9"/>
        <bgColor rgb="FFFFC9C9"/>
      </patternFill>
    </fill>
    <fill>
      <patternFill patternType="solid">
        <fgColor rgb="FFFFD0D0"/>
        <bgColor rgb="FFFFD0D0"/>
      </patternFill>
    </fill>
    <fill>
      <patternFill patternType="solid">
        <fgColor rgb="FFEDF7FE"/>
        <bgColor rgb="FFEDF7FE"/>
      </patternFill>
    </fill>
    <fill>
      <patternFill patternType="solid">
        <fgColor rgb="FF9CCFF6"/>
        <bgColor rgb="FF9CCFF6"/>
      </patternFill>
    </fill>
    <fill>
      <patternFill patternType="solid">
        <fgColor rgb="FFE2F1FD"/>
        <bgColor rgb="FFE2F1FD"/>
      </patternFill>
    </fill>
    <fill>
      <patternFill patternType="solid">
        <fgColor rgb="FFAAD6F7"/>
        <bgColor rgb="FFAAD6F7"/>
      </patternFill>
    </fill>
    <fill>
      <patternFill patternType="solid">
        <fgColor rgb="FFF9FCFF"/>
        <bgColor rgb="FFF9FCFF"/>
      </patternFill>
    </fill>
    <fill>
      <patternFill patternType="solid">
        <fgColor rgb="FFA4D3F7"/>
        <bgColor rgb="FFA4D3F7"/>
      </patternFill>
    </fill>
    <fill>
      <patternFill patternType="solid">
        <fgColor rgb="FFF2F9FE"/>
        <bgColor rgb="FFF2F9FE"/>
      </patternFill>
    </fill>
    <fill>
      <patternFill patternType="solid">
        <fgColor rgb="FFBDDFF9"/>
        <bgColor rgb="FFBDDFF9"/>
      </patternFill>
    </fill>
    <fill>
      <patternFill patternType="solid">
        <fgColor rgb="FF8EC8F4"/>
        <bgColor rgb="FF8EC8F4"/>
      </patternFill>
    </fill>
    <fill>
      <patternFill patternType="solid">
        <fgColor rgb="FFA1D1F6"/>
        <bgColor rgb="FFA1D1F6"/>
      </patternFill>
    </fill>
    <fill>
      <patternFill patternType="solid">
        <fgColor rgb="FF97CDF5"/>
        <bgColor rgb="FF97CDF5"/>
      </patternFill>
    </fill>
    <fill>
      <patternFill patternType="solid">
        <fgColor rgb="FFFFECEC"/>
        <bgColor rgb="FFFFECEC"/>
      </patternFill>
    </fill>
    <fill>
      <patternFill patternType="solid">
        <fgColor rgb="FFFAFDFF"/>
        <bgColor rgb="FFFAFDFF"/>
      </patternFill>
    </fill>
    <fill>
      <patternFill patternType="solid">
        <fgColor rgb="FFD8EDFC"/>
        <bgColor rgb="FFD8EDFC"/>
      </patternFill>
    </fill>
    <fill>
      <patternFill patternType="solid">
        <fgColor rgb="FF68B6F1"/>
        <bgColor rgb="FF68B6F1"/>
      </patternFill>
    </fill>
    <fill>
      <patternFill patternType="solid">
        <fgColor rgb="FFFFE2E2"/>
        <bgColor rgb="FFFFE2E2"/>
      </patternFill>
    </fill>
    <fill>
      <patternFill patternType="solid">
        <fgColor rgb="FFFFDEDE"/>
        <bgColor rgb="FFFFDEDE"/>
      </patternFill>
    </fill>
    <fill>
      <patternFill patternType="solid">
        <fgColor rgb="FFF3F9FE"/>
        <bgColor rgb="FFF3F9FE"/>
      </patternFill>
    </fill>
    <fill>
      <patternFill patternType="solid">
        <fgColor rgb="FFDCEEFC"/>
        <bgColor rgb="FFDCEEFC"/>
      </patternFill>
    </fill>
    <fill>
      <patternFill patternType="solid">
        <fgColor rgb="FFA1D2F6"/>
        <bgColor rgb="FFA1D2F6"/>
      </patternFill>
    </fill>
    <fill>
      <patternFill patternType="solid">
        <fgColor rgb="FFB0D9F8"/>
        <bgColor rgb="FFB0D9F8"/>
      </patternFill>
    </fill>
    <fill>
      <patternFill patternType="solid">
        <fgColor rgb="FFF9FDFF"/>
        <bgColor rgb="FFF9FDFF"/>
      </patternFill>
    </fill>
    <fill>
      <patternFill patternType="solid">
        <fgColor rgb="FF9FD0F6"/>
        <bgColor rgb="FF9FD0F6"/>
      </patternFill>
    </fill>
    <fill>
      <patternFill patternType="solid">
        <fgColor rgb="FFE5F2FD"/>
        <bgColor rgb="FFE5F2FD"/>
      </patternFill>
    </fill>
    <fill>
      <patternFill patternType="solid">
        <fgColor rgb="FFFFF6F6"/>
        <bgColor rgb="FFFFF6F6"/>
      </patternFill>
    </fill>
    <fill>
      <patternFill patternType="solid">
        <fgColor rgb="FF8DC8F4"/>
        <bgColor rgb="FF8DC8F4"/>
      </patternFill>
    </fill>
    <fill>
      <patternFill patternType="solid">
        <fgColor rgb="FFF4FAFE"/>
        <bgColor rgb="FFF4FAFE"/>
      </patternFill>
    </fill>
    <fill>
      <patternFill patternType="solid">
        <fgColor rgb="FFCAE6FA"/>
        <bgColor rgb="FFCAE6FA"/>
      </patternFill>
    </fill>
    <fill>
      <patternFill patternType="solid">
        <fgColor rgb="FFFFEAEA"/>
        <bgColor rgb="FFFFEAEA"/>
      </patternFill>
    </fill>
    <fill>
      <patternFill patternType="solid">
        <fgColor rgb="FFB5DBF8"/>
        <bgColor rgb="FFB5DBF8"/>
      </patternFill>
    </fill>
    <fill>
      <patternFill patternType="solid">
        <fgColor rgb="FFFFDBDB"/>
        <bgColor rgb="FFFFDBDB"/>
      </patternFill>
    </fill>
    <fill>
      <patternFill patternType="solid">
        <fgColor rgb="FF7ABFF2"/>
        <bgColor rgb="FF7ABFF2"/>
      </patternFill>
    </fill>
    <fill>
      <patternFill patternType="solid">
        <fgColor rgb="FFE3F2FD"/>
        <bgColor rgb="FFE3F2FD"/>
      </patternFill>
    </fill>
    <fill>
      <patternFill patternType="solid">
        <fgColor rgb="FF8BC7F4"/>
        <bgColor rgb="FF8BC7F4"/>
      </patternFill>
    </fill>
    <fill>
      <patternFill patternType="solid">
        <fgColor rgb="FFFFC7C7"/>
        <bgColor rgb="FFFFC7C7"/>
      </patternFill>
    </fill>
    <fill>
      <patternFill patternType="solid">
        <fgColor rgb="FFFFC0C0"/>
        <bgColor rgb="FFFFC0C0"/>
      </patternFill>
    </fill>
    <fill>
      <patternFill patternType="solid">
        <fgColor rgb="FFFF9F9F"/>
        <bgColor rgb="FFFF9F9F"/>
      </patternFill>
    </fill>
    <fill>
      <patternFill patternType="solid">
        <fgColor rgb="FFFFDDDD"/>
        <bgColor rgb="FFFFDDDD"/>
      </patternFill>
    </fill>
    <fill>
      <patternFill patternType="solid">
        <fgColor rgb="FFFF4F4F"/>
        <bgColor rgb="FFFF4F4F"/>
      </patternFill>
    </fill>
    <fill>
      <patternFill patternType="solid">
        <fgColor rgb="FFFF9393"/>
        <bgColor rgb="FFFF9393"/>
      </patternFill>
    </fill>
    <fill>
      <patternFill patternType="solid">
        <fgColor rgb="FFFF7676"/>
        <bgColor rgb="FFFF7676"/>
      </patternFill>
    </fill>
    <fill>
      <patternFill patternType="solid">
        <fgColor rgb="FFFF9E9E"/>
        <bgColor rgb="FFFF9E9E"/>
      </patternFill>
    </fill>
    <fill>
      <patternFill patternType="solid">
        <fgColor rgb="FFFF9D9D"/>
        <bgColor rgb="FFFF9D9D"/>
      </patternFill>
    </fill>
    <fill>
      <patternFill patternType="solid">
        <fgColor rgb="FFFFBABA"/>
        <bgColor rgb="FFFFBABA"/>
      </patternFill>
    </fill>
    <fill>
      <patternFill patternType="solid">
        <fgColor rgb="FFFFDCDC"/>
        <bgColor rgb="FFFFDCDC"/>
      </patternFill>
    </fill>
    <fill>
      <patternFill patternType="solid">
        <fgColor rgb="FFFF9898"/>
        <bgColor rgb="FFFF9898"/>
      </patternFill>
    </fill>
    <fill>
      <patternFill patternType="solid">
        <fgColor rgb="FFFFCECE"/>
        <bgColor rgb="FFFFCECE"/>
      </patternFill>
    </fill>
    <fill>
      <patternFill patternType="solid">
        <fgColor rgb="FFFFBCBC"/>
        <bgColor rgb="FFFFBCBC"/>
      </patternFill>
    </fill>
    <fill>
      <patternFill patternType="solid">
        <fgColor rgb="FFFF9696"/>
        <bgColor rgb="FFFF9696"/>
      </patternFill>
    </fill>
    <fill>
      <patternFill patternType="solid">
        <fgColor rgb="FFFF9595"/>
        <bgColor rgb="FFFF9595"/>
      </patternFill>
    </fill>
    <fill>
      <patternFill patternType="solid">
        <fgColor rgb="FFFFE7E7"/>
        <bgColor rgb="FFFFE7E7"/>
      </patternFill>
    </fill>
    <fill>
      <patternFill patternType="solid">
        <fgColor rgb="FFD7ECFC"/>
        <bgColor rgb="FFD7ECFC"/>
      </patternFill>
    </fill>
    <fill>
      <patternFill patternType="solid">
        <fgColor rgb="FFF6FBFF"/>
        <bgColor rgb="FFF6FBFF"/>
      </patternFill>
    </fill>
    <fill>
      <patternFill patternType="solid">
        <fgColor rgb="FFFFBBBB"/>
        <bgColor rgb="FFFFBBBB"/>
      </patternFill>
    </fill>
    <fill>
      <patternFill patternType="solid">
        <fgColor rgb="FFFFB7B7"/>
        <bgColor rgb="FFFFB7B7"/>
      </patternFill>
    </fill>
    <fill>
      <patternFill patternType="solid">
        <fgColor rgb="FFFFD7D7"/>
        <bgColor rgb="FFFFD7D7"/>
      </patternFill>
    </fill>
    <fill>
      <patternFill patternType="solid">
        <fgColor rgb="FF5FB1F0"/>
        <bgColor rgb="FF5FB1F0"/>
      </patternFill>
    </fill>
    <fill>
      <patternFill patternType="solid">
        <fgColor rgb="FFA5D3F7"/>
        <bgColor rgb="FFA5D3F7"/>
      </patternFill>
    </fill>
    <fill>
      <patternFill patternType="solid">
        <fgColor rgb="FFDEEFFC"/>
        <bgColor rgb="FFDEEFFC"/>
      </patternFill>
    </fill>
    <fill>
      <patternFill patternType="solid">
        <fgColor rgb="FF65B4F0"/>
        <bgColor rgb="FF65B4F0"/>
      </patternFill>
    </fill>
    <fill>
      <patternFill patternType="solid">
        <fgColor rgb="FFFFE3E3"/>
        <bgColor rgb="FFFFE3E3"/>
      </patternFill>
    </fill>
    <fill>
      <patternFill patternType="solid">
        <fgColor rgb="FFC4E3FA"/>
        <bgColor rgb="FFC4E3FA"/>
      </patternFill>
    </fill>
    <fill>
      <patternFill patternType="solid">
        <fgColor rgb="FF91CAF5"/>
        <bgColor rgb="FF91CAF5"/>
      </patternFill>
    </fill>
    <fill>
      <patternFill patternType="solid">
        <fgColor rgb="FFF5FBFE"/>
        <bgColor rgb="FFF5FBFE"/>
      </patternFill>
    </fill>
    <fill>
      <patternFill patternType="solid">
        <fgColor rgb="FFD7ECFB"/>
        <bgColor rgb="FFD7ECFB"/>
      </patternFill>
    </fill>
    <fill>
      <patternFill patternType="solid">
        <fgColor rgb="FFCAE5FA"/>
        <bgColor rgb="FFCAE5FA"/>
      </patternFill>
    </fill>
    <fill>
      <patternFill patternType="solid">
        <fgColor rgb="FFB1D9F8"/>
        <bgColor rgb="FFB1D9F8"/>
      </patternFill>
    </fill>
    <fill>
      <patternFill patternType="solid">
        <fgColor rgb="FFFFD8D8"/>
        <bgColor rgb="FFFFD8D8"/>
      </patternFill>
    </fill>
    <fill>
      <patternFill patternType="solid">
        <fgColor rgb="FFA9D5F7"/>
        <bgColor rgb="FFA9D5F7"/>
      </patternFill>
    </fill>
    <fill>
      <patternFill patternType="solid">
        <fgColor rgb="FF84C4F3"/>
        <bgColor rgb="FF84C4F3"/>
      </patternFill>
    </fill>
    <fill>
      <patternFill patternType="solid">
        <fgColor rgb="FF8FC9F4"/>
        <bgColor rgb="FF8FC9F4"/>
      </patternFill>
    </fill>
    <fill>
      <patternFill patternType="solid">
        <fgColor rgb="FF6FB9F1"/>
        <bgColor rgb="FF6FB9F1"/>
      </patternFill>
    </fill>
    <fill>
      <patternFill patternType="solid">
        <fgColor rgb="FFFFBDBD"/>
        <bgColor rgb="FFFFBDBD"/>
      </patternFill>
    </fill>
    <fill>
      <patternFill patternType="solid">
        <fgColor rgb="FFFFD3D3"/>
        <bgColor rgb="FFFFD3D3"/>
      </patternFill>
    </fill>
    <fill>
      <patternFill patternType="solid">
        <fgColor rgb="FFC2E1F9"/>
        <bgColor rgb="FFC2E1F9"/>
      </patternFill>
    </fill>
    <fill>
      <patternFill patternType="solid">
        <fgColor rgb="FFFF8080"/>
        <bgColor rgb="FFFF8080"/>
      </patternFill>
    </fill>
    <fill>
      <patternFill patternType="solid">
        <fgColor rgb="FFFFC1C1"/>
        <bgColor rgb="FFFFC1C1"/>
      </patternFill>
    </fill>
    <fill>
      <patternFill patternType="solid">
        <fgColor rgb="FFB2DAF8"/>
        <bgColor rgb="FFB2DAF8"/>
      </patternFill>
    </fill>
    <fill>
      <patternFill patternType="solid">
        <fgColor rgb="FFC2E2F9"/>
        <bgColor rgb="FFC2E2F9"/>
      </patternFill>
    </fill>
    <fill>
      <patternFill patternType="solid">
        <fgColor rgb="FF90C9F5"/>
        <bgColor rgb="FF90C9F5"/>
      </patternFill>
    </fill>
    <fill>
      <patternFill patternType="solid">
        <fgColor rgb="FF8AC6F4"/>
        <bgColor rgb="FF8AC6F4"/>
      </patternFill>
    </fill>
    <fill>
      <patternFill patternType="solid">
        <fgColor rgb="FFFF9797"/>
        <bgColor rgb="FFFF9797"/>
      </patternFill>
    </fill>
    <fill>
      <patternFill patternType="solid">
        <fgColor rgb="FFFF6666"/>
        <bgColor rgb="FFFF6666"/>
      </patternFill>
    </fill>
    <fill>
      <patternFill patternType="solid">
        <fgColor rgb="FFFF9090"/>
        <bgColor rgb="FFFF9090"/>
      </patternFill>
    </fill>
    <fill>
      <patternFill patternType="solid">
        <fgColor rgb="FFFF6969"/>
        <bgColor rgb="FFFF6969"/>
      </patternFill>
    </fill>
    <fill>
      <patternFill patternType="solid">
        <fgColor rgb="FFFF6E6E"/>
        <bgColor rgb="FFFF6E6E"/>
      </patternFill>
    </fill>
    <fill>
      <patternFill patternType="solid">
        <fgColor rgb="FFFF6868"/>
        <bgColor rgb="FFFF6868"/>
      </patternFill>
    </fill>
    <fill>
      <patternFill patternType="solid">
        <fgColor rgb="FFFF8484"/>
        <bgColor rgb="FFFF8484"/>
      </patternFill>
    </fill>
    <fill>
      <patternFill patternType="solid">
        <fgColor rgb="FFFF9292"/>
        <bgColor rgb="FFFF9292"/>
      </patternFill>
    </fill>
    <fill>
      <patternFill patternType="solid">
        <fgColor rgb="FFFF6767"/>
        <bgColor rgb="FFFF6767"/>
      </patternFill>
    </fill>
    <fill>
      <patternFill patternType="solid">
        <fgColor rgb="FFFFAEAE"/>
        <bgColor rgb="FFFFAEAE"/>
      </patternFill>
    </fill>
    <fill>
      <patternFill patternType="solid">
        <fgColor rgb="FFFFC4C4"/>
        <bgColor rgb="FFFFC4C4"/>
      </patternFill>
    </fill>
    <fill>
      <patternFill patternType="solid">
        <fgColor rgb="FFFFCDCD"/>
        <bgColor rgb="FFFFCDCD"/>
      </patternFill>
    </fill>
    <fill>
      <patternFill patternType="solid">
        <fgColor rgb="FFFFCACA"/>
        <bgColor rgb="FFFFCACA"/>
      </patternFill>
    </fill>
    <fill>
      <patternFill patternType="solid">
        <fgColor rgb="FFFFD1D1"/>
        <bgColor rgb="FFFFD1D1"/>
      </patternFill>
    </fill>
    <fill>
      <patternFill patternType="solid">
        <fgColor rgb="FFACD7F7"/>
        <bgColor rgb="FFACD7F7"/>
      </patternFill>
    </fill>
    <fill>
      <patternFill patternType="solid">
        <fgColor rgb="FFFFEDED"/>
        <bgColor rgb="FFFFEDED"/>
      </patternFill>
    </fill>
    <fill>
      <patternFill patternType="solid">
        <fgColor rgb="FFE7F3FD"/>
        <bgColor rgb="FFE7F3FD"/>
      </patternFill>
    </fill>
    <fill>
      <patternFill patternType="solid">
        <fgColor rgb="FFF3FAFE"/>
        <bgColor rgb="FFF3FAFE"/>
      </patternFill>
    </fill>
    <fill>
      <patternFill patternType="solid">
        <fgColor rgb="FFFFB8B8"/>
        <bgColor rgb="FFFFB8B8"/>
      </patternFill>
    </fill>
    <fill>
      <patternFill patternType="solid">
        <fgColor rgb="FFD2EAFB"/>
        <bgColor rgb="FFD2EAFB"/>
      </patternFill>
    </fill>
    <fill>
      <patternFill patternType="solid">
        <fgColor rgb="FFBFE0F9"/>
        <bgColor rgb="FFBFE0F9"/>
      </patternFill>
    </fill>
    <fill>
      <patternFill patternType="solid">
        <fgColor rgb="FFFFA4A4"/>
        <bgColor rgb="FFFFA4A4"/>
      </patternFill>
    </fill>
    <fill>
      <patternFill patternType="solid">
        <fgColor rgb="FFFF8F8F"/>
        <bgColor rgb="FFFF8F8F"/>
      </patternFill>
    </fill>
    <fill>
      <patternFill patternType="solid">
        <fgColor rgb="FFFF5555"/>
        <bgColor rgb="FFFF5555"/>
      </patternFill>
    </fill>
    <fill>
      <patternFill patternType="solid">
        <fgColor rgb="FFFF6363"/>
        <bgColor rgb="FFFF6363"/>
      </patternFill>
    </fill>
    <fill>
      <patternFill patternType="solid">
        <fgColor rgb="FFFFD5D5"/>
        <bgColor rgb="FFFFD5D5"/>
      </patternFill>
    </fill>
    <fill>
      <patternFill patternType="solid">
        <fgColor rgb="FFFF9A9A"/>
        <bgColor rgb="FFFF9A9A"/>
      </patternFill>
    </fill>
    <fill>
      <patternFill patternType="solid">
        <fgColor rgb="FFFF8A8A"/>
        <bgColor rgb="FFFF8A8A"/>
      </patternFill>
    </fill>
    <fill>
      <patternFill patternType="solid">
        <fgColor rgb="FFFF8888"/>
        <bgColor rgb="FFFF8888"/>
      </patternFill>
    </fill>
    <fill>
      <patternFill patternType="solid">
        <fgColor rgb="FFFFB6B6"/>
        <bgColor rgb="FFFFB6B6"/>
      </patternFill>
    </fill>
    <fill>
      <patternFill patternType="solid">
        <fgColor rgb="FFFFB0B0"/>
        <bgColor rgb="FFFFB0B0"/>
      </patternFill>
    </fill>
    <fill>
      <patternFill patternType="solid">
        <fgColor rgb="FFFF7070"/>
        <bgColor rgb="FFFF7070"/>
      </patternFill>
    </fill>
    <fill>
      <patternFill patternType="solid">
        <fgColor rgb="FFFFE0E0"/>
        <bgColor rgb="FFFFE0E0"/>
      </patternFill>
    </fill>
    <fill>
      <patternFill patternType="solid">
        <fgColor rgb="FFCEE8FB"/>
        <bgColor rgb="FFCEE8FB"/>
      </patternFill>
    </fill>
    <fill>
      <patternFill patternType="solid">
        <fgColor rgb="FFF7FCFF"/>
        <bgColor rgb="FFF7FCFF"/>
      </patternFill>
    </fill>
    <fill>
      <patternFill patternType="solid">
        <fgColor rgb="FFA7D5F7"/>
        <bgColor rgb="FFA7D5F7"/>
      </patternFill>
    </fill>
    <fill>
      <patternFill patternType="solid">
        <fgColor rgb="FFC8E4FA"/>
        <bgColor rgb="FFC8E4FA"/>
      </patternFill>
    </fill>
    <fill>
      <patternFill patternType="solid">
        <fgColor rgb="FF94CBF5"/>
        <bgColor rgb="FF94CBF5"/>
      </patternFill>
    </fill>
    <fill>
      <patternFill patternType="solid">
        <fgColor rgb="FFFFB2B2"/>
        <bgColor rgb="FFFFB2B2"/>
      </patternFill>
    </fill>
    <fill>
      <patternFill patternType="solid">
        <fgColor rgb="FFB9DDF9"/>
        <bgColor rgb="FFB9DDF9"/>
      </patternFill>
    </fill>
    <fill>
      <patternFill patternType="solid">
        <fgColor rgb="FFFF8E8E"/>
        <bgColor rgb="FFFF8E8E"/>
      </patternFill>
    </fill>
    <fill>
      <patternFill patternType="solid">
        <fgColor rgb="FFFF6060"/>
        <bgColor rgb="FFFF6060"/>
      </patternFill>
    </fill>
    <fill>
      <patternFill patternType="solid">
        <fgColor rgb="FFADD8F7"/>
        <bgColor rgb="FFADD8F7"/>
      </patternFill>
    </fill>
    <fill>
      <patternFill patternType="solid">
        <fgColor rgb="FFF5FBFF"/>
        <bgColor rgb="FFF5FBFF"/>
      </patternFill>
    </fill>
    <fill>
      <patternFill patternType="solid">
        <fgColor rgb="FFEAF5FD"/>
        <bgColor rgb="FFEAF5FD"/>
      </patternFill>
    </fill>
    <fill>
      <patternFill patternType="solid">
        <fgColor rgb="FFFF7F7F"/>
        <bgColor rgb="FFFF7F7F"/>
      </patternFill>
    </fill>
    <fill>
      <patternFill patternType="solid">
        <fgColor rgb="FFFFA1A1"/>
        <bgColor rgb="FFFFA1A1"/>
      </patternFill>
    </fill>
    <fill>
      <patternFill patternType="solid">
        <fgColor rgb="FFFFADAD"/>
        <bgColor rgb="FFFFADAD"/>
      </patternFill>
    </fill>
    <fill>
      <patternFill patternType="solid">
        <fgColor rgb="FFFF9999"/>
        <bgColor rgb="FFFF9999"/>
      </patternFill>
    </fill>
    <fill>
      <patternFill patternType="solid">
        <fgColor rgb="FFFF6B6B"/>
        <bgColor rgb="FFFF6B6B"/>
      </patternFill>
    </fill>
    <fill>
      <patternFill patternType="solid">
        <fgColor rgb="FFFFBEBE"/>
        <bgColor rgb="FFFFBEBE"/>
      </patternFill>
    </fill>
    <fill>
      <patternFill patternType="solid">
        <fgColor rgb="FFFF9494"/>
        <bgColor rgb="FFFF9494"/>
      </patternFill>
    </fill>
    <fill>
      <patternFill patternType="solid">
        <fgColor rgb="FFFBFEFF"/>
        <bgColor rgb="FFFBFEFF"/>
      </patternFill>
    </fill>
    <fill>
      <patternFill patternType="solid">
        <fgColor rgb="FFB8DDF8"/>
        <bgColor rgb="FFB8DDF8"/>
      </patternFill>
    </fill>
    <fill>
      <patternFill patternType="solid">
        <fgColor rgb="FFE3F1FD"/>
        <bgColor rgb="FFE3F1FD"/>
      </patternFill>
    </fill>
    <fill>
      <patternFill patternType="solid">
        <fgColor rgb="FFFDFFFF"/>
        <bgColor rgb="FFFDFFFF"/>
      </patternFill>
    </fill>
    <fill>
      <patternFill patternType="solid">
        <fgColor rgb="FFD0E9FB"/>
        <bgColor rgb="FFD0E9FB"/>
      </patternFill>
    </fill>
    <fill>
      <patternFill patternType="solid">
        <fgColor rgb="FF92CAF5"/>
        <bgColor rgb="FF92CAF5"/>
      </patternFill>
    </fill>
    <fill>
      <patternFill patternType="solid">
        <fgColor rgb="FFA0D1F6"/>
        <bgColor rgb="FFA0D1F6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1F497D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4" fillId="0" borderId="1" xfId="0" applyFont="1" applyBorder="1"/>
    <xf numFmtId="0" fontId="3" fillId="0" borderId="3" xfId="0" applyFont="1" applyBorder="1"/>
    <xf numFmtId="0" fontId="3" fillId="0" borderId="0" xfId="0" applyFont="1"/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0" fontId="7" fillId="17" borderId="9" xfId="0" applyFont="1" applyFill="1" applyBorder="1" applyAlignment="1">
      <alignment horizontal="center" vertical="center"/>
    </xf>
    <xf numFmtId="0" fontId="7" fillId="18" borderId="9" xfId="0" applyFont="1" applyFill="1" applyBorder="1" applyAlignment="1">
      <alignment horizontal="center" vertical="center"/>
    </xf>
    <xf numFmtId="0" fontId="7" fillId="19" borderId="9" xfId="0" applyFont="1" applyFill="1" applyBorder="1" applyAlignment="1">
      <alignment horizontal="center" vertical="center"/>
    </xf>
    <xf numFmtId="0" fontId="7" fillId="20" borderId="9" xfId="0" applyFont="1" applyFill="1" applyBorder="1" applyAlignment="1">
      <alignment horizontal="center" vertical="center"/>
    </xf>
    <xf numFmtId="0" fontId="7" fillId="21" borderId="9" xfId="0" applyFont="1" applyFill="1" applyBorder="1" applyAlignment="1">
      <alignment horizontal="center" vertical="center"/>
    </xf>
    <xf numFmtId="0" fontId="7" fillId="22" borderId="9" xfId="0" applyFont="1" applyFill="1" applyBorder="1" applyAlignment="1">
      <alignment horizontal="center" vertical="center"/>
    </xf>
    <xf numFmtId="0" fontId="8" fillId="0" borderId="0" xfId="0" applyFont="1"/>
    <xf numFmtId="0" fontId="7" fillId="23" borderId="9" xfId="0" applyFont="1" applyFill="1" applyBorder="1" applyAlignment="1">
      <alignment horizontal="center" vertical="center"/>
    </xf>
    <xf numFmtId="0" fontId="7" fillId="24" borderId="9" xfId="0" applyFont="1" applyFill="1" applyBorder="1" applyAlignment="1">
      <alignment horizontal="center" vertical="center"/>
    </xf>
    <xf numFmtId="0" fontId="7" fillId="25" borderId="9" xfId="0" applyFont="1" applyFill="1" applyBorder="1" applyAlignment="1">
      <alignment horizontal="center" vertical="center"/>
    </xf>
    <xf numFmtId="0" fontId="7" fillId="26" borderId="9" xfId="0" applyFont="1" applyFill="1" applyBorder="1" applyAlignment="1">
      <alignment horizontal="center" vertical="center"/>
    </xf>
    <xf numFmtId="0" fontId="7" fillId="27" borderId="9" xfId="0" applyFont="1" applyFill="1" applyBorder="1" applyAlignment="1">
      <alignment horizontal="center" vertical="center"/>
    </xf>
    <xf numFmtId="0" fontId="7" fillId="28" borderId="9" xfId="0" applyFont="1" applyFill="1" applyBorder="1" applyAlignment="1">
      <alignment horizontal="center" vertical="center"/>
    </xf>
    <xf numFmtId="0" fontId="7" fillId="29" borderId="9" xfId="0" applyFont="1" applyFill="1" applyBorder="1" applyAlignment="1">
      <alignment horizontal="center" vertical="center"/>
    </xf>
    <xf numFmtId="0" fontId="7" fillId="30" borderId="9" xfId="0" applyFont="1" applyFill="1" applyBorder="1" applyAlignment="1">
      <alignment horizontal="center" vertical="center"/>
    </xf>
    <xf numFmtId="0" fontId="7" fillId="31" borderId="9" xfId="0" applyFont="1" applyFill="1" applyBorder="1" applyAlignment="1">
      <alignment horizontal="center" vertical="center"/>
    </xf>
    <xf numFmtId="0" fontId="7" fillId="32" borderId="9" xfId="0" applyFont="1" applyFill="1" applyBorder="1" applyAlignment="1">
      <alignment horizontal="center" vertical="center"/>
    </xf>
    <xf numFmtId="0" fontId="7" fillId="33" borderId="9" xfId="0" applyFont="1" applyFill="1" applyBorder="1" applyAlignment="1">
      <alignment horizontal="center" vertical="center"/>
    </xf>
    <xf numFmtId="0" fontId="7" fillId="34" borderId="9" xfId="0" applyFont="1" applyFill="1" applyBorder="1" applyAlignment="1">
      <alignment horizontal="center" vertical="center"/>
    </xf>
    <xf numFmtId="0" fontId="7" fillId="35" borderId="9" xfId="0" applyFont="1" applyFill="1" applyBorder="1" applyAlignment="1">
      <alignment horizontal="center" vertical="center"/>
    </xf>
    <xf numFmtId="0" fontId="7" fillId="36" borderId="9" xfId="0" applyFont="1" applyFill="1" applyBorder="1" applyAlignment="1">
      <alignment horizontal="center" vertical="center"/>
    </xf>
    <xf numFmtId="0" fontId="7" fillId="37" borderId="9" xfId="0" applyFont="1" applyFill="1" applyBorder="1" applyAlignment="1">
      <alignment horizontal="center" vertical="center"/>
    </xf>
    <xf numFmtId="0" fontId="7" fillId="38" borderId="9" xfId="0" applyFont="1" applyFill="1" applyBorder="1" applyAlignment="1">
      <alignment horizontal="center" vertical="center"/>
    </xf>
    <xf numFmtId="0" fontId="7" fillId="39" borderId="9" xfId="0" applyFont="1" applyFill="1" applyBorder="1" applyAlignment="1">
      <alignment horizontal="center" vertical="center"/>
    </xf>
    <xf numFmtId="0" fontId="7" fillId="40" borderId="9" xfId="0" applyFont="1" applyFill="1" applyBorder="1" applyAlignment="1">
      <alignment horizontal="center" vertical="center"/>
    </xf>
    <xf numFmtId="0" fontId="7" fillId="41" borderId="9" xfId="0" applyFont="1" applyFill="1" applyBorder="1" applyAlignment="1">
      <alignment horizontal="center" vertical="center"/>
    </xf>
    <xf numFmtId="0" fontId="7" fillId="42" borderId="9" xfId="0" applyFont="1" applyFill="1" applyBorder="1" applyAlignment="1">
      <alignment horizontal="center" vertical="center"/>
    </xf>
    <xf numFmtId="0" fontId="7" fillId="43" borderId="9" xfId="0" applyFont="1" applyFill="1" applyBorder="1" applyAlignment="1">
      <alignment horizontal="center" vertical="center"/>
    </xf>
    <xf numFmtId="0" fontId="7" fillId="44" borderId="9" xfId="0" applyFont="1" applyFill="1" applyBorder="1" applyAlignment="1">
      <alignment horizontal="center" vertical="center"/>
    </xf>
    <xf numFmtId="0" fontId="7" fillId="45" borderId="9" xfId="0" applyFont="1" applyFill="1" applyBorder="1" applyAlignment="1">
      <alignment horizontal="center" vertical="center"/>
    </xf>
    <xf numFmtId="0" fontId="7" fillId="46" borderId="9" xfId="0" applyFont="1" applyFill="1" applyBorder="1" applyAlignment="1">
      <alignment horizontal="center" vertical="center"/>
    </xf>
    <xf numFmtId="0" fontId="7" fillId="47" borderId="9" xfId="0" applyFont="1" applyFill="1" applyBorder="1" applyAlignment="1">
      <alignment horizontal="center" vertical="center"/>
    </xf>
    <xf numFmtId="0" fontId="7" fillId="48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/>
    </xf>
    <xf numFmtId="0" fontId="7" fillId="50" borderId="9" xfId="0" applyFont="1" applyFill="1" applyBorder="1" applyAlignment="1">
      <alignment horizontal="center" vertical="center"/>
    </xf>
    <xf numFmtId="0" fontId="7" fillId="51" borderId="9" xfId="0" applyFont="1" applyFill="1" applyBorder="1" applyAlignment="1">
      <alignment horizontal="center" vertical="center"/>
    </xf>
    <xf numFmtId="0" fontId="7" fillId="52" borderId="9" xfId="0" applyFont="1" applyFill="1" applyBorder="1" applyAlignment="1">
      <alignment horizontal="center" vertical="center"/>
    </xf>
    <xf numFmtId="0" fontId="7" fillId="53" borderId="9" xfId="0" applyFont="1" applyFill="1" applyBorder="1" applyAlignment="1">
      <alignment horizontal="center" vertical="center"/>
    </xf>
    <xf numFmtId="0" fontId="7" fillId="54" borderId="9" xfId="0" applyFont="1" applyFill="1" applyBorder="1" applyAlignment="1">
      <alignment horizontal="center" vertical="center"/>
    </xf>
    <xf numFmtId="0" fontId="7" fillId="55" borderId="9" xfId="0" applyFont="1" applyFill="1" applyBorder="1" applyAlignment="1">
      <alignment horizontal="center" vertical="center"/>
    </xf>
    <xf numFmtId="0" fontId="7" fillId="56" borderId="9" xfId="0" applyFont="1" applyFill="1" applyBorder="1" applyAlignment="1">
      <alignment horizontal="center" vertical="center"/>
    </xf>
    <xf numFmtId="0" fontId="7" fillId="57" borderId="9" xfId="0" applyFont="1" applyFill="1" applyBorder="1" applyAlignment="1">
      <alignment horizontal="center" vertical="center"/>
    </xf>
    <xf numFmtId="0" fontId="7" fillId="58" borderId="9" xfId="0" applyFont="1" applyFill="1" applyBorder="1" applyAlignment="1">
      <alignment horizontal="center" vertical="center"/>
    </xf>
    <xf numFmtId="0" fontId="7" fillId="59" borderId="9" xfId="0" applyFont="1" applyFill="1" applyBorder="1" applyAlignment="1">
      <alignment horizontal="center" vertical="center"/>
    </xf>
    <xf numFmtId="0" fontId="7" fillId="60" borderId="9" xfId="0" applyFont="1" applyFill="1" applyBorder="1" applyAlignment="1">
      <alignment horizontal="center" vertical="center"/>
    </xf>
    <xf numFmtId="0" fontId="7" fillId="61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62" borderId="9" xfId="0" applyFont="1" applyFill="1" applyBorder="1" applyAlignment="1">
      <alignment horizontal="center" vertical="center"/>
    </xf>
    <xf numFmtId="0" fontId="7" fillId="63" borderId="9" xfId="0" applyFont="1" applyFill="1" applyBorder="1" applyAlignment="1">
      <alignment horizontal="center" vertical="center"/>
    </xf>
    <xf numFmtId="0" fontId="7" fillId="64" borderId="9" xfId="0" applyFont="1" applyFill="1" applyBorder="1" applyAlignment="1">
      <alignment horizontal="center" vertical="center"/>
    </xf>
    <xf numFmtId="0" fontId="7" fillId="65" borderId="9" xfId="0" applyFont="1" applyFill="1" applyBorder="1" applyAlignment="1">
      <alignment horizontal="center" vertical="center"/>
    </xf>
    <xf numFmtId="0" fontId="7" fillId="66" borderId="9" xfId="0" applyFont="1" applyFill="1" applyBorder="1" applyAlignment="1">
      <alignment horizontal="center" vertical="center"/>
    </xf>
    <xf numFmtId="0" fontId="7" fillId="67" borderId="9" xfId="0" applyFont="1" applyFill="1" applyBorder="1" applyAlignment="1">
      <alignment horizontal="center" vertical="center"/>
    </xf>
    <xf numFmtId="0" fontId="7" fillId="68" borderId="9" xfId="0" applyFont="1" applyFill="1" applyBorder="1" applyAlignment="1">
      <alignment horizontal="center" vertical="center"/>
    </xf>
    <xf numFmtId="0" fontId="7" fillId="69" borderId="9" xfId="0" applyFont="1" applyFill="1" applyBorder="1" applyAlignment="1">
      <alignment horizontal="center" vertical="center"/>
    </xf>
    <xf numFmtId="0" fontId="7" fillId="70" borderId="9" xfId="0" applyFont="1" applyFill="1" applyBorder="1" applyAlignment="1">
      <alignment horizontal="center" vertical="center"/>
    </xf>
    <xf numFmtId="0" fontId="7" fillId="71" borderId="9" xfId="0" applyFont="1" applyFill="1" applyBorder="1" applyAlignment="1">
      <alignment horizontal="center" vertical="center"/>
    </xf>
    <xf numFmtId="0" fontId="7" fillId="72" borderId="9" xfId="0" applyFont="1" applyFill="1" applyBorder="1" applyAlignment="1">
      <alignment horizontal="center" vertical="center"/>
    </xf>
    <xf numFmtId="0" fontId="7" fillId="73" borderId="9" xfId="0" applyFont="1" applyFill="1" applyBorder="1" applyAlignment="1">
      <alignment horizontal="center" vertical="center"/>
    </xf>
    <xf numFmtId="0" fontId="7" fillId="74" borderId="9" xfId="0" applyFont="1" applyFill="1" applyBorder="1" applyAlignment="1">
      <alignment horizontal="center" vertical="center"/>
    </xf>
    <xf numFmtId="0" fontId="7" fillId="75" borderId="9" xfId="0" applyFont="1" applyFill="1" applyBorder="1" applyAlignment="1">
      <alignment horizontal="center" vertical="center"/>
    </xf>
    <xf numFmtId="0" fontId="7" fillId="76" borderId="9" xfId="0" applyFont="1" applyFill="1" applyBorder="1" applyAlignment="1">
      <alignment horizontal="center" vertical="center"/>
    </xf>
    <xf numFmtId="0" fontId="7" fillId="77" borderId="9" xfId="0" applyFont="1" applyFill="1" applyBorder="1" applyAlignment="1">
      <alignment horizontal="center" vertical="center"/>
    </xf>
    <xf numFmtId="0" fontId="7" fillId="78" borderId="9" xfId="0" applyFont="1" applyFill="1" applyBorder="1" applyAlignment="1">
      <alignment horizontal="center" vertical="center"/>
    </xf>
    <xf numFmtId="0" fontId="7" fillId="79" borderId="9" xfId="0" applyFont="1" applyFill="1" applyBorder="1" applyAlignment="1">
      <alignment horizontal="center" vertical="center"/>
    </xf>
    <xf numFmtId="0" fontId="7" fillId="80" borderId="9" xfId="0" applyFont="1" applyFill="1" applyBorder="1" applyAlignment="1">
      <alignment horizontal="center" vertical="center"/>
    </xf>
    <xf numFmtId="0" fontId="7" fillId="81" borderId="9" xfId="0" applyFont="1" applyFill="1" applyBorder="1" applyAlignment="1">
      <alignment horizontal="center" vertical="center"/>
    </xf>
    <xf numFmtId="0" fontId="7" fillId="82" borderId="9" xfId="0" applyFont="1" applyFill="1" applyBorder="1" applyAlignment="1">
      <alignment horizontal="center" vertical="center"/>
    </xf>
    <xf numFmtId="0" fontId="7" fillId="83" borderId="9" xfId="0" applyFont="1" applyFill="1" applyBorder="1" applyAlignment="1">
      <alignment horizontal="center" vertical="center"/>
    </xf>
    <xf numFmtId="0" fontId="7" fillId="84" borderId="9" xfId="0" applyFont="1" applyFill="1" applyBorder="1" applyAlignment="1">
      <alignment horizontal="center" vertical="center"/>
    </xf>
    <xf numFmtId="0" fontId="7" fillId="85" borderId="9" xfId="0" applyFont="1" applyFill="1" applyBorder="1" applyAlignment="1">
      <alignment horizontal="center" vertical="center"/>
    </xf>
    <xf numFmtId="0" fontId="7" fillId="86" borderId="9" xfId="0" applyFont="1" applyFill="1" applyBorder="1" applyAlignment="1">
      <alignment horizontal="center" vertical="center"/>
    </xf>
    <xf numFmtId="0" fontId="7" fillId="87" borderId="9" xfId="0" applyFont="1" applyFill="1" applyBorder="1" applyAlignment="1">
      <alignment horizontal="center" vertical="center"/>
    </xf>
    <xf numFmtId="0" fontId="7" fillId="88" borderId="9" xfId="0" applyFont="1" applyFill="1" applyBorder="1" applyAlignment="1">
      <alignment horizontal="center" vertical="center"/>
    </xf>
    <xf numFmtId="0" fontId="7" fillId="89" borderId="9" xfId="0" applyFont="1" applyFill="1" applyBorder="1" applyAlignment="1">
      <alignment horizontal="center" vertical="center"/>
    </xf>
    <xf numFmtId="0" fontId="7" fillId="90" borderId="9" xfId="0" applyFont="1" applyFill="1" applyBorder="1" applyAlignment="1">
      <alignment horizontal="center" vertical="center"/>
    </xf>
    <xf numFmtId="0" fontId="7" fillId="91" borderId="9" xfId="0" applyFont="1" applyFill="1" applyBorder="1" applyAlignment="1">
      <alignment horizontal="center" vertical="center"/>
    </xf>
    <xf numFmtId="0" fontId="7" fillId="92" borderId="9" xfId="0" applyFont="1" applyFill="1" applyBorder="1" applyAlignment="1">
      <alignment horizontal="center" vertical="center"/>
    </xf>
    <xf numFmtId="0" fontId="7" fillId="93" borderId="9" xfId="0" applyFont="1" applyFill="1" applyBorder="1" applyAlignment="1">
      <alignment horizontal="center" vertical="center"/>
    </xf>
    <xf numFmtId="0" fontId="7" fillId="94" borderId="9" xfId="0" applyFont="1" applyFill="1" applyBorder="1" applyAlignment="1">
      <alignment horizontal="center" vertical="center"/>
    </xf>
    <xf numFmtId="0" fontId="7" fillId="95" borderId="9" xfId="0" applyFont="1" applyFill="1" applyBorder="1" applyAlignment="1">
      <alignment horizontal="center" vertical="center"/>
    </xf>
    <xf numFmtId="0" fontId="7" fillId="96" borderId="9" xfId="0" applyFont="1" applyFill="1" applyBorder="1" applyAlignment="1">
      <alignment horizontal="center" vertical="center"/>
    </xf>
    <xf numFmtId="0" fontId="7" fillId="97" borderId="9" xfId="0" applyFont="1" applyFill="1" applyBorder="1" applyAlignment="1">
      <alignment horizontal="center" vertical="center"/>
    </xf>
    <xf numFmtId="0" fontId="7" fillId="98" borderId="9" xfId="0" applyFont="1" applyFill="1" applyBorder="1" applyAlignment="1">
      <alignment horizontal="center" vertical="center"/>
    </xf>
    <xf numFmtId="0" fontId="7" fillId="99" borderId="9" xfId="0" applyFont="1" applyFill="1" applyBorder="1" applyAlignment="1">
      <alignment horizontal="center" vertical="center"/>
    </xf>
    <xf numFmtId="0" fontId="7" fillId="100" borderId="9" xfId="0" applyFont="1" applyFill="1" applyBorder="1" applyAlignment="1">
      <alignment horizontal="center" vertical="center"/>
    </xf>
    <xf numFmtId="0" fontId="7" fillId="101" borderId="9" xfId="0" applyFont="1" applyFill="1" applyBorder="1" applyAlignment="1">
      <alignment horizontal="center" vertical="center"/>
    </xf>
    <xf numFmtId="0" fontId="7" fillId="102" borderId="9" xfId="0" applyFont="1" applyFill="1" applyBorder="1" applyAlignment="1">
      <alignment horizontal="center" vertical="center"/>
    </xf>
    <xf numFmtId="0" fontId="7" fillId="103" borderId="9" xfId="0" applyFont="1" applyFill="1" applyBorder="1" applyAlignment="1">
      <alignment horizontal="center" vertical="center"/>
    </xf>
    <xf numFmtId="0" fontId="7" fillId="104" borderId="9" xfId="0" applyFont="1" applyFill="1" applyBorder="1" applyAlignment="1">
      <alignment horizontal="center" vertical="center"/>
    </xf>
    <xf numFmtId="0" fontId="7" fillId="105" borderId="9" xfId="0" applyFont="1" applyFill="1" applyBorder="1" applyAlignment="1">
      <alignment horizontal="center" vertical="center"/>
    </xf>
    <xf numFmtId="0" fontId="7" fillId="106" borderId="9" xfId="0" applyFont="1" applyFill="1" applyBorder="1" applyAlignment="1">
      <alignment horizontal="center" vertical="center"/>
    </xf>
    <xf numFmtId="0" fontId="7" fillId="107" borderId="9" xfId="0" applyFont="1" applyFill="1" applyBorder="1" applyAlignment="1">
      <alignment horizontal="center" vertical="center"/>
    </xf>
    <xf numFmtId="0" fontId="7" fillId="108" borderId="9" xfId="0" applyFont="1" applyFill="1" applyBorder="1" applyAlignment="1">
      <alignment horizontal="center" vertical="center"/>
    </xf>
    <xf numFmtId="0" fontId="7" fillId="109" borderId="9" xfId="0" applyFont="1" applyFill="1" applyBorder="1" applyAlignment="1">
      <alignment horizontal="center" vertical="center"/>
    </xf>
    <xf numFmtId="0" fontId="7" fillId="110" borderId="9" xfId="0" applyFont="1" applyFill="1" applyBorder="1" applyAlignment="1">
      <alignment horizontal="center" vertical="center"/>
    </xf>
    <xf numFmtId="0" fontId="7" fillId="111" borderId="9" xfId="0" applyFont="1" applyFill="1" applyBorder="1" applyAlignment="1">
      <alignment horizontal="center" vertical="center"/>
    </xf>
    <xf numFmtId="0" fontId="7" fillId="112" borderId="9" xfId="0" applyFont="1" applyFill="1" applyBorder="1" applyAlignment="1">
      <alignment horizontal="center" vertical="center"/>
    </xf>
    <xf numFmtId="0" fontId="7" fillId="113" borderId="9" xfId="0" applyFont="1" applyFill="1" applyBorder="1" applyAlignment="1">
      <alignment horizontal="center" vertical="center"/>
    </xf>
    <xf numFmtId="0" fontId="7" fillId="114" borderId="9" xfId="0" applyFont="1" applyFill="1" applyBorder="1" applyAlignment="1">
      <alignment horizontal="center" vertical="center"/>
    </xf>
    <xf numFmtId="0" fontId="7" fillId="115" borderId="9" xfId="0" applyFont="1" applyFill="1" applyBorder="1" applyAlignment="1">
      <alignment horizontal="center" vertical="center"/>
    </xf>
    <xf numFmtId="0" fontId="7" fillId="116" borderId="9" xfId="0" applyFont="1" applyFill="1" applyBorder="1" applyAlignment="1">
      <alignment horizontal="center" vertical="center"/>
    </xf>
    <xf numFmtId="0" fontId="7" fillId="117" borderId="9" xfId="0" applyFont="1" applyFill="1" applyBorder="1" applyAlignment="1">
      <alignment horizontal="center" vertical="center"/>
    </xf>
    <xf numFmtId="0" fontId="7" fillId="118" borderId="9" xfId="0" applyFont="1" applyFill="1" applyBorder="1" applyAlignment="1">
      <alignment horizontal="center" vertical="center"/>
    </xf>
    <xf numFmtId="0" fontId="7" fillId="119" borderId="9" xfId="0" applyFont="1" applyFill="1" applyBorder="1" applyAlignment="1">
      <alignment horizontal="center" vertical="center"/>
    </xf>
    <xf numFmtId="0" fontId="7" fillId="120" borderId="9" xfId="0" applyFont="1" applyFill="1" applyBorder="1" applyAlignment="1">
      <alignment horizontal="center" vertical="center"/>
    </xf>
    <xf numFmtId="0" fontId="7" fillId="121" borderId="9" xfId="0" applyFont="1" applyFill="1" applyBorder="1" applyAlignment="1">
      <alignment horizontal="center" vertical="center"/>
    </xf>
    <xf numFmtId="0" fontId="7" fillId="122" borderId="9" xfId="0" applyFont="1" applyFill="1" applyBorder="1" applyAlignment="1">
      <alignment horizontal="center" vertical="center"/>
    </xf>
    <xf numFmtId="0" fontId="7" fillId="123" borderId="9" xfId="0" applyFont="1" applyFill="1" applyBorder="1" applyAlignment="1">
      <alignment horizontal="center" vertical="center"/>
    </xf>
    <xf numFmtId="0" fontId="7" fillId="124" borderId="9" xfId="0" applyFont="1" applyFill="1" applyBorder="1" applyAlignment="1">
      <alignment horizontal="center" vertical="center"/>
    </xf>
    <xf numFmtId="0" fontId="7" fillId="125" borderId="9" xfId="0" applyFont="1" applyFill="1" applyBorder="1" applyAlignment="1">
      <alignment horizontal="center" vertical="center"/>
    </xf>
    <xf numFmtId="0" fontId="7" fillId="126" borderId="9" xfId="0" applyFont="1" applyFill="1" applyBorder="1" applyAlignment="1">
      <alignment horizontal="center" vertical="center"/>
    </xf>
    <xf numFmtId="0" fontId="7" fillId="127" borderId="9" xfId="0" applyFont="1" applyFill="1" applyBorder="1" applyAlignment="1">
      <alignment horizontal="center" vertical="center"/>
    </xf>
    <xf numFmtId="0" fontId="7" fillId="128" borderId="9" xfId="0" applyFont="1" applyFill="1" applyBorder="1" applyAlignment="1">
      <alignment horizontal="center" vertical="center"/>
    </xf>
    <xf numFmtId="0" fontId="7" fillId="129" borderId="9" xfId="0" applyFont="1" applyFill="1" applyBorder="1" applyAlignment="1">
      <alignment horizontal="center" vertical="center"/>
    </xf>
    <xf numFmtId="0" fontId="7" fillId="130" borderId="9" xfId="0" applyFont="1" applyFill="1" applyBorder="1" applyAlignment="1">
      <alignment horizontal="center" vertical="center"/>
    </xf>
    <xf numFmtId="0" fontId="7" fillId="131" borderId="9" xfId="0" applyFont="1" applyFill="1" applyBorder="1" applyAlignment="1">
      <alignment horizontal="center" vertical="center"/>
    </xf>
    <xf numFmtId="0" fontId="7" fillId="132" borderId="9" xfId="0" applyFont="1" applyFill="1" applyBorder="1" applyAlignment="1">
      <alignment horizontal="center" vertical="center"/>
    </xf>
    <xf numFmtId="0" fontId="7" fillId="133" borderId="9" xfId="0" applyFont="1" applyFill="1" applyBorder="1" applyAlignment="1">
      <alignment horizontal="center" vertical="center"/>
    </xf>
    <xf numFmtId="0" fontId="7" fillId="134" borderId="9" xfId="0" applyFont="1" applyFill="1" applyBorder="1" applyAlignment="1">
      <alignment horizontal="center" vertical="center"/>
    </xf>
    <xf numFmtId="0" fontId="7" fillId="135" borderId="9" xfId="0" applyFont="1" applyFill="1" applyBorder="1" applyAlignment="1">
      <alignment horizontal="center" vertical="center"/>
    </xf>
    <xf numFmtId="0" fontId="7" fillId="136" borderId="9" xfId="0" applyFont="1" applyFill="1" applyBorder="1" applyAlignment="1">
      <alignment horizontal="center" vertical="center"/>
    </xf>
    <xf numFmtId="0" fontId="7" fillId="137" borderId="9" xfId="0" applyFont="1" applyFill="1" applyBorder="1" applyAlignment="1">
      <alignment horizontal="center" vertical="center"/>
    </xf>
    <xf numFmtId="0" fontId="7" fillId="138" borderId="9" xfId="0" applyFont="1" applyFill="1" applyBorder="1" applyAlignment="1">
      <alignment horizontal="center" vertical="center"/>
    </xf>
    <xf numFmtId="0" fontId="7" fillId="139" borderId="9" xfId="0" applyFont="1" applyFill="1" applyBorder="1" applyAlignment="1">
      <alignment horizontal="center" vertical="center"/>
    </xf>
    <xf numFmtId="0" fontId="7" fillId="140" borderId="9" xfId="0" applyFont="1" applyFill="1" applyBorder="1" applyAlignment="1">
      <alignment horizontal="center" vertical="center"/>
    </xf>
    <xf numFmtId="0" fontId="7" fillId="141" borderId="9" xfId="0" applyFont="1" applyFill="1" applyBorder="1" applyAlignment="1">
      <alignment horizontal="center" vertical="center"/>
    </xf>
    <xf numFmtId="0" fontId="7" fillId="142" borderId="9" xfId="0" applyFont="1" applyFill="1" applyBorder="1" applyAlignment="1">
      <alignment horizontal="center" vertical="center"/>
    </xf>
    <xf numFmtId="0" fontId="7" fillId="143" borderId="9" xfId="0" applyFont="1" applyFill="1" applyBorder="1" applyAlignment="1">
      <alignment horizontal="center" vertical="center"/>
    </xf>
    <xf numFmtId="0" fontId="7" fillId="144" borderId="9" xfId="0" applyFont="1" applyFill="1" applyBorder="1" applyAlignment="1">
      <alignment horizontal="center" vertical="center"/>
    </xf>
    <xf numFmtId="0" fontId="7" fillId="145" borderId="9" xfId="0" applyFont="1" applyFill="1" applyBorder="1" applyAlignment="1">
      <alignment horizontal="center" vertical="center"/>
    </xf>
    <xf numFmtId="0" fontId="7" fillId="146" borderId="9" xfId="0" applyFont="1" applyFill="1" applyBorder="1" applyAlignment="1">
      <alignment horizontal="center" vertical="center"/>
    </xf>
    <xf numFmtId="0" fontId="7" fillId="147" borderId="9" xfId="0" applyFont="1" applyFill="1" applyBorder="1" applyAlignment="1">
      <alignment horizontal="center" vertical="center"/>
    </xf>
    <xf numFmtId="0" fontId="7" fillId="148" borderId="9" xfId="0" applyFont="1" applyFill="1" applyBorder="1" applyAlignment="1">
      <alignment horizontal="center" vertical="center"/>
    </xf>
    <xf numFmtId="0" fontId="7" fillId="149" borderId="9" xfId="0" applyFont="1" applyFill="1" applyBorder="1" applyAlignment="1">
      <alignment horizontal="center" vertical="center"/>
    </xf>
    <xf numFmtId="0" fontId="7" fillId="150" borderId="9" xfId="0" applyFont="1" applyFill="1" applyBorder="1" applyAlignment="1">
      <alignment horizontal="center" vertical="center"/>
    </xf>
    <xf numFmtId="0" fontId="7" fillId="151" borderId="9" xfId="0" applyFont="1" applyFill="1" applyBorder="1" applyAlignment="1">
      <alignment horizontal="center" vertical="center"/>
    </xf>
    <xf numFmtId="0" fontId="7" fillId="152" borderId="9" xfId="0" applyFont="1" applyFill="1" applyBorder="1" applyAlignment="1">
      <alignment horizontal="center" vertical="center"/>
    </xf>
    <xf numFmtId="0" fontId="7" fillId="153" borderId="9" xfId="0" applyFont="1" applyFill="1" applyBorder="1" applyAlignment="1">
      <alignment horizontal="center" vertical="center"/>
    </xf>
    <xf numFmtId="0" fontId="7" fillId="154" borderId="9" xfId="0" applyFont="1" applyFill="1" applyBorder="1" applyAlignment="1">
      <alignment horizontal="center" vertical="center"/>
    </xf>
    <xf numFmtId="0" fontId="7" fillId="155" borderId="9" xfId="0" applyFont="1" applyFill="1" applyBorder="1" applyAlignment="1">
      <alignment horizontal="center" vertical="center"/>
    </xf>
    <xf numFmtId="0" fontId="7" fillId="156" borderId="9" xfId="0" applyFont="1" applyFill="1" applyBorder="1" applyAlignment="1">
      <alignment horizontal="center" vertical="center"/>
    </xf>
    <xf numFmtId="0" fontId="7" fillId="157" borderId="9" xfId="0" applyFont="1" applyFill="1" applyBorder="1" applyAlignment="1">
      <alignment horizontal="center" vertical="center"/>
    </xf>
    <xf numFmtId="0" fontId="7" fillId="158" borderId="9" xfId="0" applyFont="1" applyFill="1" applyBorder="1" applyAlignment="1">
      <alignment horizontal="center" vertical="center"/>
    </xf>
    <xf numFmtId="0" fontId="7" fillId="159" borderId="9" xfId="0" applyFont="1" applyFill="1" applyBorder="1" applyAlignment="1">
      <alignment horizontal="center" vertical="center"/>
    </xf>
    <xf numFmtId="0" fontId="7" fillId="160" borderId="9" xfId="0" applyFont="1" applyFill="1" applyBorder="1" applyAlignment="1">
      <alignment horizontal="center" vertical="center"/>
    </xf>
    <xf numFmtId="0" fontId="7" fillId="161" borderId="9" xfId="0" applyFont="1" applyFill="1" applyBorder="1" applyAlignment="1">
      <alignment horizontal="center" vertical="center"/>
    </xf>
    <xf numFmtId="0" fontId="7" fillId="162" borderId="9" xfId="0" applyFont="1" applyFill="1" applyBorder="1" applyAlignment="1">
      <alignment horizontal="center" vertical="center"/>
    </xf>
    <xf numFmtId="0" fontId="7" fillId="163" borderId="9" xfId="0" applyFont="1" applyFill="1" applyBorder="1" applyAlignment="1">
      <alignment horizontal="center" vertical="center"/>
    </xf>
    <xf numFmtId="0" fontId="7" fillId="164" borderId="9" xfId="0" applyFont="1" applyFill="1" applyBorder="1" applyAlignment="1">
      <alignment horizontal="center" vertical="center"/>
    </xf>
    <xf numFmtId="0" fontId="7" fillId="165" borderId="9" xfId="0" applyFont="1" applyFill="1" applyBorder="1" applyAlignment="1">
      <alignment horizontal="center" vertical="center"/>
    </xf>
    <xf numFmtId="0" fontId="7" fillId="166" borderId="9" xfId="0" applyFont="1" applyFill="1" applyBorder="1" applyAlignment="1">
      <alignment horizontal="center" vertical="center"/>
    </xf>
    <xf numFmtId="0" fontId="7" fillId="167" borderId="9" xfId="0" applyFont="1" applyFill="1" applyBorder="1" applyAlignment="1">
      <alignment horizontal="center" vertical="center"/>
    </xf>
    <xf numFmtId="0" fontId="7" fillId="168" borderId="9" xfId="0" applyFont="1" applyFill="1" applyBorder="1" applyAlignment="1">
      <alignment horizontal="center" vertical="center"/>
    </xf>
    <xf numFmtId="0" fontId="7" fillId="169" borderId="9" xfId="0" applyFont="1" applyFill="1" applyBorder="1" applyAlignment="1">
      <alignment horizontal="center" vertical="center"/>
    </xf>
    <xf numFmtId="0" fontId="7" fillId="170" borderId="9" xfId="0" applyFont="1" applyFill="1" applyBorder="1" applyAlignment="1">
      <alignment horizontal="center" vertical="center"/>
    </xf>
    <xf numFmtId="0" fontId="7" fillId="171" borderId="9" xfId="0" applyFont="1" applyFill="1" applyBorder="1" applyAlignment="1">
      <alignment horizontal="center" vertical="center"/>
    </xf>
    <xf numFmtId="0" fontId="7" fillId="172" borderId="9" xfId="0" applyFont="1" applyFill="1" applyBorder="1" applyAlignment="1">
      <alignment horizontal="center" vertical="center"/>
    </xf>
    <xf numFmtId="0" fontId="7" fillId="173" borderId="9" xfId="0" applyFont="1" applyFill="1" applyBorder="1" applyAlignment="1">
      <alignment horizontal="center" vertical="center"/>
    </xf>
    <xf numFmtId="0" fontId="7" fillId="174" borderId="9" xfId="0" applyFont="1" applyFill="1" applyBorder="1" applyAlignment="1">
      <alignment horizontal="center" vertical="center"/>
    </xf>
    <xf numFmtId="0" fontId="7" fillId="175" borderId="9" xfId="0" applyFont="1" applyFill="1" applyBorder="1" applyAlignment="1">
      <alignment horizontal="center" vertical="center"/>
    </xf>
    <xf numFmtId="0" fontId="7" fillId="176" borderId="9" xfId="0" applyFont="1" applyFill="1" applyBorder="1" applyAlignment="1">
      <alignment horizontal="center" vertical="center"/>
    </xf>
    <xf numFmtId="0" fontId="7" fillId="177" borderId="9" xfId="0" applyFont="1" applyFill="1" applyBorder="1" applyAlignment="1">
      <alignment horizontal="center" vertical="center"/>
    </xf>
    <xf numFmtId="0" fontId="7" fillId="178" borderId="9" xfId="0" applyFont="1" applyFill="1" applyBorder="1" applyAlignment="1">
      <alignment horizontal="center" vertical="center"/>
    </xf>
    <xf numFmtId="0" fontId="7" fillId="179" borderId="9" xfId="0" applyFont="1" applyFill="1" applyBorder="1" applyAlignment="1">
      <alignment horizontal="center" vertical="center"/>
    </xf>
    <xf numFmtId="0" fontId="7" fillId="180" borderId="9" xfId="0" applyFont="1" applyFill="1" applyBorder="1" applyAlignment="1">
      <alignment horizontal="center" vertical="center"/>
    </xf>
    <xf numFmtId="0" fontId="7" fillId="181" borderId="9" xfId="0" applyFont="1" applyFill="1" applyBorder="1" applyAlignment="1">
      <alignment horizontal="center" vertical="center"/>
    </xf>
    <xf numFmtId="0" fontId="7" fillId="182" borderId="9" xfId="0" applyFont="1" applyFill="1" applyBorder="1" applyAlignment="1">
      <alignment horizontal="center" vertical="center"/>
    </xf>
    <xf numFmtId="0" fontId="7" fillId="183" borderId="9" xfId="0" applyFont="1" applyFill="1" applyBorder="1" applyAlignment="1">
      <alignment horizontal="center" vertical="center"/>
    </xf>
    <xf numFmtId="0" fontId="7" fillId="184" borderId="9" xfId="0" applyFont="1" applyFill="1" applyBorder="1" applyAlignment="1">
      <alignment horizontal="center" vertical="center"/>
    </xf>
    <xf numFmtId="0" fontId="7" fillId="185" borderId="9" xfId="0" applyFont="1" applyFill="1" applyBorder="1" applyAlignment="1">
      <alignment horizontal="center" vertical="center"/>
    </xf>
    <xf numFmtId="0" fontId="7" fillId="186" borderId="9" xfId="0" applyFont="1" applyFill="1" applyBorder="1" applyAlignment="1">
      <alignment horizontal="center" vertical="center"/>
    </xf>
    <xf numFmtId="0" fontId="7" fillId="187" borderId="9" xfId="0" applyFont="1" applyFill="1" applyBorder="1" applyAlignment="1">
      <alignment horizontal="center" vertical="center"/>
    </xf>
    <xf numFmtId="0" fontId="7" fillId="188" borderId="9" xfId="0" applyFont="1" applyFill="1" applyBorder="1" applyAlignment="1">
      <alignment horizontal="center" vertical="center"/>
    </xf>
    <xf numFmtId="0" fontId="7" fillId="189" borderId="9" xfId="0" applyFont="1" applyFill="1" applyBorder="1" applyAlignment="1">
      <alignment horizontal="center" vertical="center"/>
    </xf>
    <xf numFmtId="0" fontId="7" fillId="190" borderId="9" xfId="0" applyFont="1" applyFill="1" applyBorder="1" applyAlignment="1">
      <alignment horizontal="center" vertical="center"/>
    </xf>
    <xf numFmtId="0" fontId="7" fillId="191" borderId="9" xfId="0" applyFont="1" applyFill="1" applyBorder="1" applyAlignment="1">
      <alignment horizontal="center" vertical="center"/>
    </xf>
    <xf numFmtId="0" fontId="7" fillId="192" borderId="9" xfId="0" applyFont="1" applyFill="1" applyBorder="1" applyAlignment="1">
      <alignment horizontal="center" vertical="center"/>
    </xf>
    <xf numFmtId="0" fontId="7" fillId="193" borderId="9" xfId="0" applyFont="1" applyFill="1" applyBorder="1" applyAlignment="1">
      <alignment horizontal="center" vertical="center"/>
    </xf>
    <xf numFmtId="0" fontId="7" fillId="194" borderId="9" xfId="0" applyFont="1" applyFill="1" applyBorder="1" applyAlignment="1">
      <alignment horizontal="center" vertical="center"/>
    </xf>
    <xf numFmtId="0" fontId="7" fillId="195" borderId="9" xfId="0" applyFont="1" applyFill="1" applyBorder="1" applyAlignment="1">
      <alignment horizontal="center" vertical="center"/>
    </xf>
    <xf numFmtId="0" fontId="7" fillId="196" borderId="9" xfId="0" applyFont="1" applyFill="1" applyBorder="1" applyAlignment="1">
      <alignment horizontal="center" vertical="center"/>
    </xf>
    <xf numFmtId="0" fontId="7" fillId="197" borderId="9" xfId="0" applyFont="1" applyFill="1" applyBorder="1" applyAlignment="1">
      <alignment horizontal="center" vertical="center"/>
    </xf>
    <xf numFmtId="0" fontId="7" fillId="198" borderId="9" xfId="0" applyFont="1" applyFill="1" applyBorder="1" applyAlignment="1">
      <alignment horizontal="center" vertical="center"/>
    </xf>
    <xf numFmtId="0" fontId="7" fillId="199" borderId="9" xfId="0" applyFont="1" applyFill="1" applyBorder="1" applyAlignment="1">
      <alignment horizontal="center" vertical="center"/>
    </xf>
    <xf numFmtId="0" fontId="7" fillId="200" borderId="9" xfId="0" applyFont="1" applyFill="1" applyBorder="1" applyAlignment="1">
      <alignment horizontal="center" vertical="center"/>
    </xf>
    <xf numFmtId="0" fontId="7" fillId="201" borderId="9" xfId="0" applyFont="1" applyFill="1" applyBorder="1" applyAlignment="1">
      <alignment horizontal="center" vertical="center"/>
    </xf>
    <xf numFmtId="0" fontId="7" fillId="202" borderId="9" xfId="0" applyFont="1" applyFill="1" applyBorder="1" applyAlignment="1">
      <alignment horizontal="center" vertical="center"/>
    </xf>
    <xf numFmtId="0" fontId="7" fillId="203" borderId="9" xfId="0" applyFont="1" applyFill="1" applyBorder="1" applyAlignment="1">
      <alignment horizontal="center" vertical="center"/>
    </xf>
    <xf numFmtId="0" fontId="7" fillId="204" borderId="9" xfId="0" applyFont="1" applyFill="1" applyBorder="1" applyAlignment="1">
      <alignment horizontal="center" vertical="center"/>
    </xf>
    <xf numFmtId="0" fontId="7" fillId="205" borderId="9" xfId="0" applyFont="1" applyFill="1" applyBorder="1" applyAlignment="1">
      <alignment horizontal="center" vertical="center"/>
    </xf>
    <xf numFmtId="0" fontId="7" fillId="206" borderId="9" xfId="0" applyFont="1" applyFill="1" applyBorder="1" applyAlignment="1">
      <alignment horizontal="center" vertical="center"/>
    </xf>
    <xf numFmtId="0" fontId="7" fillId="207" borderId="9" xfId="0" applyFont="1" applyFill="1" applyBorder="1" applyAlignment="1">
      <alignment horizontal="center" vertical="center"/>
    </xf>
    <xf numFmtId="0" fontId="7" fillId="208" borderId="9" xfId="0" applyFont="1" applyFill="1" applyBorder="1" applyAlignment="1">
      <alignment horizontal="center" vertical="center"/>
    </xf>
    <xf numFmtId="0" fontId="7" fillId="209" borderId="9" xfId="0" applyFont="1" applyFill="1" applyBorder="1" applyAlignment="1">
      <alignment horizontal="center" vertical="center"/>
    </xf>
    <xf numFmtId="0" fontId="7" fillId="210" borderId="9" xfId="0" applyFont="1" applyFill="1" applyBorder="1" applyAlignment="1">
      <alignment horizontal="center" vertical="center"/>
    </xf>
    <xf numFmtId="0" fontId="7" fillId="211" borderId="9" xfId="0" applyFont="1" applyFill="1" applyBorder="1" applyAlignment="1">
      <alignment horizontal="center" vertical="center"/>
    </xf>
    <xf numFmtId="0" fontId="7" fillId="212" borderId="9" xfId="0" applyFont="1" applyFill="1" applyBorder="1" applyAlignment="1">
      <alignment horizontal="center" vertical="center"/>
    </xf>
    <xf numFmtId="0" fontId="7" fillId="213" borderId="9" xfId="0" applyFont="1" applyFill="1" applyBorder="1" applyAlignment="1">
      <alignment horizontal="center" vertical="center"/>
    </xf>
    <xf numFmtId="0" fontId="7" fillId="214" borderId="9" xfId="0" applyFont="1" applyFill="1" applyBorder="1" applyAlignment="1">
      <alignment horizontal="center" vertical="center"/>
    </xf>
    <xf numFmtId="0" fontId="7" fillId="215" borderId="9" xfId="0" applyFont="1" applyFill="1" applyBorder="1" applyAlignment="1">
      <alignment horizontal="center" vertical="center"/>
    </xf>
    <xf numFmtId="0" fontId="7" fillId="216" borderId="9" xfId="0" applyFont="1" applyFill="1" applyBorder="1" applyAlignment="1">
      <alignment horizontal="center" vertical="center"/>
    </xf>
    <xf numFmtId="0" fontId="7" fillId="217" borderId="9" xfId="0" applyFont="1" applyFill="1" applyBorder="1" applyAlignment="1">
      <alignment horizontal="center" vertical="center"/>
    </xf>
    <xf numFmtId="0" fontId="7" fillId="218" borderId="9" xfId="0" applyFont="1" applyFill="1" applyBorder="1" applyAlignment="1">
      <alignment horizontal="center" vertical="center"/>
    </xf>
    <xf numFmtId="0" fontId="7" fillId="219" borderId="9" xfId="0" applyFont="1" applyFill="1" applyBorder="1" applyAlignment="1">
      <alignment horizontal="center" vertical="center"/>
    </xf>
    <xf numFmtId="0" fontId="7" fillId="220" borderId="9" xfId="0" applyFont="1" applyFill="1" applyBorder="1" applyAlignment="1">
      <alignment horizontal="center" vertical="center"/>
    </xf>
    <xf numFmtId="0" fontId="7" fillId="221" borderId="9" xfId="0" applyFont="1" applyFill="1" applyBorder="1" applyAlignment="1">
      <alignment horizontal="center" vertical="center"/>
    </xf>
    <xf numFmtId="0" fontId="7" fillId="222" borderId="9" xfId="0" applyFont="1" applyFill="1" applyBorder="1" applyAlignment="1">
      <alignment horizontal="center" vertical="center"/>
    </xf>
    <xf numFmtId="0" fontId="7" fillId="223" borderId="9" xfId="0" applyFont="1" applyFill="1" applyBorder="1" applyAlignment="1">
      <alignment horizontal="center" vertical="center"/>
    </xf>
    <xf numFmtId="0" fontId="7" fillId="224" borderId="9" xfId="0" applyFont="1" applyFill="1" applyBorder="1" applyAlignment="1">
      <alignment horizontal="center" vertical="center"/>
    </xf>
    <xf numFmtId="0" fontId="7" fillId="225" borderId="9" xfId="0" applyFont="1" applyFill="1" applyBorder="1" applyAlignment="1">
      <alignment horizontal="center" vertical="center"/>
    </xf>
    <xf numFmtId="0" fontId="7" fillId="226" borderId="9" xfId="0" applyFont="1" applyFill="1" applyBorder="1" applyAlignment="1">
      <alignment horizontal="center" vertical="center"/>
    </xf>
    <xf numFmtId="0" fontId="7" fillId="227" borderId="9" xfId="0" applyFont="1" applyFill="1" applyBorder="1" applyAlignment="1">
      <alignment horizontal="center" vertical="center"/>
    </xf>
    <xf numFmtId="0" fontId="7" fillId="228" borderId="9" xfId="0" applyFont="1" applyFill="1" applyBorder="1" applyAlignment="1">
      <alignment horizontal="center" vertical="center"/>
    </xf>
    <xf numFmtId="0" fontId="7" fillId="229" borderId="9" xfId="0" applyFont="1" applyFill="1" applyBorder="1" applyAlignment="1">
      <alignment horizontal="center" vertical="center"/>
    </xf>
    <xf numFmtId="0" fontId="7" fillId="230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7" fillId="231" borderId="9" xfId="0" applyFont="1" applyFill="1" applyBorder="1" applyAlignment="1">
      <alignment horizontal="center" vertical="center"/>
    </xf>
    <xf numFmtId="0" fontId="7" fillId="232" borderId="9" xfId="0" applyFont="1" applyFill="1" applyBorder="1" applyAlignment="1">
      <alignment horizontal="center" vertical="center"/>
    </xf>
    <xf numFmtId="0" fontId="7" fillId="233" borderId="9" xfId="0" applyFont="1" applyFill="1" applyBorder="1" applyAlignment="1">
      <alignment horizontal="center" vertical="center"/>
    </xf>
    <xf numFmtId="0" fontId="7" fillId="234" borderId="9" xfId="0" applyFont="1" applyFill="1" applyBorder="1" applyAlignment="1">
      <alignment horizontal="center" vertical="center"/>
    </xf>
    <xf numFmtId="0" fontId="7" fillId="235" borderId="9" xfId="0" applyFont="1" applyFill="1" applyBorder="1" applyAlignment="1">
      <alignment horizontal="center" vertical="center"/>
    </xf>
    <xf numFmtId="0" fontId="7" fillId="236" borderId="9" xfId="0" applyFont="1" applyFill="1" applyBorder="1" applyAlignment="1">
      <alignment horizontal="center" vertical="center"/>
    </xf>
    <xf numFmtId="0" fontId="7" fillId="237" borderId="9" xfId="0" applyFont="1" applyFill="1" applyBorder="1" applyAlignment="1">
      <alignment horizontal="center" vertical="center"/>
    </xf>
    <xf numFmtId="0" fontId="7" fillId="238" borderId="9" xfId="0" applyFont="1" applyFill="1" applyBorder="1" applyAlignment="1">
      <alignment horizontal="center" vertical="center"/>
    </xf>
    <xf numFmtId="0" fontId="7" fillId="239" borderId="9" xfId="0" applyFont="1" applyFill="1" applyBorder="1" applyAlignment="1">
      <alignment horizontal="center" vertical="center"/>
    </xf>
    <xf numFmtId="0" fontId="7" fillId="240" borderId="9" xfId="0" applyFont="1" applyFill="1" applyBorder="1" applyAlignment="1">
      <alignment horizontal="center" vertical="center"/>
    </xf>
    <xf numFmtId="0" fontId="7" fillId="241" borderId="9" xfId="0" applyFont="1" applyFill="1" applyBorder="1" applyAlignment="1">
      <alignment horizontal="center" vertical="center"/>
    </xf>
    <xf numFmtId="0" fontId="7" fillId="242" borderId="9" xfId="0" applyFont="1" applyFill="1" applyBorder="1" applyAlignment="1">
      <alignment horizontal="center" vertical="center"/>
    </xf>
    <xf numFmtId="0" fontId="7" fillId="243" borderId="9" xfId="0" applyFont="1" applyFill="1" applyBorder="1" applyAlignment="1">
      <alignment horizontal="center" vertical="center"/>
    </xf>
    <xf numFmtId="0" fontId="7" fillId="244" borderId="9" xfId="0" applyFont="1" applyFill="1" applyBorder="1" applyAlignment="1">
      <alignment horizontal="center" vertical="center"/>
    </xf>
    <xf numFmtId="0" fontId="7" fillId="245" borderId="9" xfId="0" applyFont="1" applyFill="1" applyBorder="1" applyAlignment="1">
      <alignment horizontal="center" vertical="center"/>
    </xf>
    <xf numFmtId="0" fontId="7" fillId="246" borderId="9" xfId="0" applyFont="1" applyFill="1" applyBorder="1" applyAlignment="1">
      <alignment horizontal="center" vertical="center"/>
    </xf>
    <xf numFmtId="0" fontId="7" fillId="247" borderId="9" xfId="0" applyFont="1" applyFill="1" applyBorder="1" applyAlignment="1">
      <alignment horizontal="center" vertical="center"/>
    </xf>
    <xf numFmtId="0" fontId="7" fillId="248" borderId="9" xfId="0" applyFont="1" applyFill="1" applyBorder="1" applyAlignment="1">
      <alignment horizontal="center" vertical="center"/>
    </xf>
    <xf numFmtId="0" fontId="7" fillId="249" borderId="9" xfId="0" applyFont="1" applyFill="1" applyBorder="1" applyAlignment="1">
      <alignment horizontal="center" vertical="center"/>
    </xf>
    <xf numFmtId="0" fontId="7" fillId="250" borderId="9" xfId="0" applyFont="1" applyFill="1" applyBorder="1" applyAlignment="1">
      <alignment horizontal="center" vertical="center"/>
    </xf>
    <xf numFmtId="0" fontId="7" fillId="251" borderId="9" xfId="0" applyFont="1" applyFill="1" applyBorder="1" applyAlignment="1">
      <alignment horizontal="center" vertical="center"/>
    </xf>
    <xf numFmtId="0" fontId="7" fillId="252" borderId="9" xfId="0" applyFont="1" applyFill="1" applyBorder="1" applyAlignment="1">
      <alignment horizontal="center" vertical="center"/>
    </xf>
    <xf numFmtId="0" fontId="7" fillId="253" borderId="9" xfId="0" applyFont="1" applyFill="1" applyBorder="1" applyAlignment="1">
      <alignment horizontal="center" vertical="center"/>
    </xf>
    <xf numFmtId="0" fontId="7" fillId="254" borderId="9" xfId="0" applyFont="1" applyFill="1" applyBorder="1" applyAlignment="1">
      <alignment horizontal="center" vertical="center"/>
    </xf>
    <xf numFmtId="0" fontId="7" fillId="255" borderId="9" xfId="0" applyFont="1" applyFill="1" applyBorder="1" applyAlignment="1">
      <alignment horizontal="center" vertical="center"/>
    </xf>
    <xf numFmtId="0" fontId="7" fillId="256" borderId="9" xfId="0" applyFont="1" applyFill="1" applyBorder="1" applyAlignment="1">
      <alignment horizontal="center" vertical="center"/>
    </xf>
    <xf numFmtId="0" fontId="7" fillId="257" borderId="9" xfId="0" applyFont="1" applyFill="1" applyBorder="1" applyAlignment="1">
      <alignment horizontal="center" vertical="center"/>
    </xf>
    <xf numFmtId="0" fontId="7" fillId="258" borderId="9" xfId="0" applyFont="1" applyFill="1" applyBorder="1" applyAlignment="1">
      <alignment horizontal="center" vertical="center"/>
    </xf>
    <xf numFmtId="0" fontId="7" fillId="259" borderId="9" xfId="0" applyFont="1" applyFill="1" applyBorder="1" applyAlignment="1">
      <alignment horizontal="center" vertical="center"/>
    </xf>
    <xf numFmtId="0" fontId="7" fillId="260" borderId="9" xfId="0" applyFont="1" applyFill="1" applyBorder="1" applyAlignment="1">
      <alignment horizontal="center" vertical="center"/>
    </xf>
    <xf numFmtId="0" fontId="7" fillId="261" borderId="9" xfId="0" applyFont="1" applyFill="1" applyBorder="1" applyAlignment="1">
      <alignment horizontal="center" vertical="center"/>
    </xf>
    <xf numFmtId="0" fontId="7" fillId="262" borderId="9" xfId="0" applyFont="1" applyFill="1" applyBorder="1" applyAlignment="1">
      <alignment horizontal="center" vertical="center"/>
    </xf>
    <xf numFmtId="0" fontId="7" fillId="263" borderId="9" xfId="0" applyFont="1" applyFill="1" applyBorder="1" applyAlignment="1">
      <alignment horizontal="center" vertical="center"/>
    </xf>
    <xf numFmtId="0" fontId="7" fillId="264" borderId="9" xfId="0" applyFont="1" applyFill="1" applyBorder="1" applyAlignment="1">
      <alignment horizontal="center" vertical="center"/>
    </xf>
    <xf numFmtId="0" fontId="7" fillId="265" borderId="9" xfId="0" applyFont="1" applyFill="1" applyBorder="1" applyAlignment="1">
      <alignment horizontal="center" vertical="center"/>
    </xf>
    <xf numFmtId="0" fontId="7" fillId="266" borderId="9" xfId="0" applyFont="1" applyFill="1" applyBorder="1" applyAlignment="1">
      <alignment horizontal="center" vertical="center"/>
    </xf>
    <xf numFmtId="0" fontId="7" fillId="267" borderId="9" xfId="0" applyFont="1" applyFill="1" applyBorder="1" applyAlignment="1">
      <alignment horizontal="center" vertical="center"/>
    </xf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4E98-9F7C-4D1F-B155-BD2C9B0E8C33}">
  <sheetPr codeName="Sheet4">
    <pageSetUpPr fitToPage="1"/>
  </sheetPr>
  <dimension ref="A1:V1002"/>
  <sheetViews>
    <sheetView tabSelected="1" workbookViewId="0"/>
  </sheetViews>
  <sheetFormatPr defaultColWidth="12.59765625" defaultRowHeight="15" customHeight="1" x14ac:dyDescent="0.25"/>
  <cols>
    <col min="1" max="1" width="35.5" customWidth="1"/>
    <col min="2" max="2" width="14.09765625" customWidth="1"/>
    <col min="3" max="9" width="7.19921875" customWidth="1"/>
    <col min="10" max="10" width="9.09765625" customWidth="1"/>
    <col min="11" max="11" width="8.69921875" customWidth="1"/>
    <col min="12" max="12" width="9.5" customWidth="1"/>
    <col min="13" max="13" width="11.19921875" customWidth="1"/>
    <col min="14" max="14" width="14.19921875" customWidth="1"/>
    <col min="15" max="15" width="14.09765625" customWidth="1"/>
    <col min="16" max="22" width="7.19921875" customWidth="1"/>
    <col min="23" max="26" width="6.69921875" customWidth="1"/>
  </cols>
  <sheetData>
    <row r="1" spans="1:22" ht="15" customHeight="1" x14ac:dyDescent="0.3">
      <c r="A1" s="1" t="s">
        <v>0</v>
      </c>
    </row>
    <row r="2" spans="1:22" ht="15" customHeight="1" thickBot="1" x14ac:dyDescent="0.3"/>
    <row r="3" spans="1:22" ht="15.6" x14ac:dyDescent="0.3">
      <c r="A3" s="2" t="s">
        <v>1</v>
      </c>
      <c r="B3" s="3"/>
      <c r="C3" s="4" t="s">
        <v>2</v>
      </c>
      <c r="D3" s="5"/>
      <c r="E3" s="5"/>
      <c r="F3" s="5"/>
      <c r="G3" s="5"/>
      <c r="H3" s="5"/>
      <c r="I3" s="3"/>
      <c r="J3" s="4" t="s">
        <v>3</v>
      </c>
      <c r="K3" s="5"/>
      <c r="L3" s="5"/>
      <c r="M3" s="5"/>
      <c r="N3" s="5"/>
      <c r="O3" s="5"/>
      <c r="P3" s="3"/>
      <c r="Q3" s="6" t="s">
        <v>4</v>
      </c>
    </row>
    <row r="4" spans="1:22" ht="14.4" thickBot="1" x14ac:dyDescent="0.3">
      <c r="A4" s="7" t="s">
        <v>5</v>
      </c>
      <c r="B4" s="7" t="s">
        <v>6</v>
      </c>
      <c r="C4" s="7" t="s">
        <v>7</v>
      </c>
      <c r="D4" s="7" t="s">
        <v>8</v>
      </c>
      <c r="E4" s="8" t="s">
        <v>9</v>
      </c>
      <c r="F4" s="9" t="s">
        <v>10</v>
      </c>
      <c r="G4" s="8" t="s">
        <v>11</v>
      </c>
      <c r="H4" s="9" t="s">
        <v>12</v>
      </c>
      <c r="I4" s="10" t="s">
        <v>13</v>
      </c>
      <c r="J4" s="7" t="s">
        <v>14</v>
      </c>
      <c r="K4" s="7" t="s">
        <v>15</v>
      </c>
      <c r="L4" s="8" t="s">
        <v>16</v>
      </c>
      <c r="M4" s="9" t="s">
        <v>17</v>
      </c>
      <c r="N4" s="8" t="s">
        <v>18</v>
      </c>
      <c r="O4" s="9" t="s">
        <v>19</v>
      </c>
      <c r="P4" s="10" t="s">
        <v>20</v>
      </c>
      <c r="Q4" s="8" t="s">
        <v>21</v>
      </c>
      <c r="R4" s="8" t="s">
        <v>22</v>
      </c>
      <c r="S4" s="8" t="s">
        <v>23</v>
      </c>
      <c r="T4" s="8" t="s">
        <v>24</v>
      </c>
      <c r="U4" s="8" t="s">
        <v>25</v>
      </c>
      <c r="V4" s="8" t="s">
        <v>26</v>
      </c>
    </row>
    <row r="5" spans="1:22" ht="14.4" x14ac:dyDescent="0.3">
      <c r="A5" s="11" t="s">
        <v>27</v>
      </c>
      <c r="B5" s="11" t="s">
        <v>28</v>
      </c>
      <c r="C5" s="12">
        <v>-4.7759687478501303E-2</v>
      </c>
      <c r="D5" s="13">
        <v>2.13044407541443E-2</v>
      </c>
      <c r="E5" s="14">
        <v>-1.52737573240129E-2</v>
      </c>
      <c r="F5" s="15">
        <v>-0.11193937009747799</v>
      </c>
      <c r="G5" s="16">
        <v>-3.70705292714191E-2</v>
      </c>
      <c r="H5" s="17">
        <v>-5.9566721119820698E-2</v>
      </c>
      <c r="I5" s="18">
        <f t="shared" ref="I5:I158" si="0">AVERAGE(C5:H5)</f>
        <v>-4.1717604089514616E-2</v>
      </c>
      <c r="J5" s="12">
        <f t="shared" ref="J5:J158" si="1">(C5-AVERAGE($C$5:$C$158))/STDEV($C$5:$C$158)</f>
        <v>-0.25762915689485161</v>
      </c>
      <c r="K5" s="13">
        <f t="shared" ref="K5:K158" si="2">(D5-AVERAGE($D$5:$D$158))/STDEV($D$5:$D$158)</f>
        <v>0.46851739123606123</v>
      </c>
      <c r="L5" s="14">
        <f t="shared" ref="L5:L158" si="3">(E5-AVERAGE($E$5:$E$158))/STDEV($E$5:$E$158)</f>
        <v>0.25493288755910692</v>
      </c>
      <c r="M5" s="15">
        <f t="shared" ref="M5:M158" si="4">(F5-AVERAGE($F$5:$F$158))/STDEV($F$5:$F$158)</f>
        <v>-1.3263285734564134</v>
      </c>
      <c r="N5" s="16">
        <f t="shared" ref="N5:N158" si="5">(G5-AVERAGE($G$5:$G$158))/STDEV($G$5:$G$158)</f>
        <v>-0.2413943114801762</v>
      </c>
      <c r="O5" s="17">
        <f t="shared" ref="O5:O158" si="6">(H5-AVERAGE($H$5:$H$158))/STDEV($H$5:$H$158)</f>
        <v>-0.52653839202037755</v>
      </c>
      <c r="P5" s="18">
        <f t="shared" ref="P5:P158" si="7">AVERAGE(J5:O5)</f>
        <v>-0.27140669250944177</v>
      </c>
      <c r="Q5" s="6">
        <v>0.39802221100482399</v>
      </c>
      <c r="R5" s="6">
        <v>0.31916107653709003</v>
      </c>
      <c r="S5" s="6">
        <v>0.39906628774329</v>
      </c>
      <c r="T5" s="6">
        <v>9.1651126497837396E-2</v>
      </c>
      <c r="U5" s="6">
        <v>0.40431961085399498</v>
      </c>
      <c r="V5" s="6">
        <v>0.29866072787391801</v>
      </c>
    </row>
    <row r="6" spans="1:22" ht="14.4" x14ac:dyDescent="0.3">
      <c r="A6" s="19" t="s">
        <v>29</v>
      </c>
      <c r="B6" s="19" t="s">
        <v>30</v>
      </c>
      <c r="C6" s="20">
        <v>4.6711071585759396E-3</v>
      </c>
      <c r="D6" s="21">
        <v>-3.30734261707483E-2</v>
      </c>
      <c r="E6" s="22">
        <v>3.8330693667542298E-2</v>
      </c>
      <c r="F6" s="23">
        <v>-7.0372613221382002E-3</v>
      </c>
      <c r="G6" s="24">
        <v>1.75780443963066E-2</v>
      </c>
      <c r="H6" s="25">
        <v>-3.9772810685594497E-2</v>
      </c>
      <c r="I6" s="26">
        <f t="shared" si="0"/>
        <v>-3.2172754926760271E-3</v>
      </c>
      <c r="J6" s="27">
        <f t="shared" si="1"/>
        <v>0.43486519710831811</v>
      </c>
      <c r="K6" s="20">
        <f t="shared" si="2"/>
        <v>-0.2174739773771184</v>
      </c>
      <c r="L6" s="28">
        <f t="shared" si="3"/>
        <v>0.98610038242906373</v>
      </c>
      <c r="M6" s="29">
        <f t="shared" si="4"/>
        <v>-2.6344326256158866E-2</v>
      </c>
      <c r="N6" s="30">
        <f t="shared" si="5"/>
        <v>0.45219685674373106</v>
      </c>
      <c r="O6" s="31">
        <f t="shared" si="6"/>
        <v>-0.27529247476814522</v>
      </c>
      <c r="P6" s="26">
        <f t="shared" si="7"/>
        <v>0.22567527631328174</v>
      </c>
      <c r="Q6" s="6">
        <v>0.331315340648412</v>
      </c>
      <c r="R6" s="6">
        <v>0.413643062786611</v>
      </c>
      <c r="S6" s="6">
        <v>0.16125386722037399</v>
      </c>
      <c r="T6" s="6">
        <v>0.48945707187155701</v>
      </c>
      <c r="U6" s="6">
        <v>0.32503238315130001</v>
      </c>
      <c r="V6" s="6">
        <v>0.39120081600355799</v>
      </c>
    </row>
    <row r="7" spans="1:22" ht="14.4" x14ac:dyDescent="0.3">
      <c r="A7" s="19" t="s">
        <v>31</v>
      </c>
      <c r="B7" s="19" t="s">
        <v>32</v>
      </c>
      <c r="C7" s="32">
        <v>-3.7178199833563803E-2</v>
      </c>
      <c r="D7" s="29">
        <v>-1.6837380596017401E-2</v>
      </c>
      <c r="E7" s="24">
        <v>5.5828216425702702E-2</v>
      </c>
      <c r="F7" s="33">
        <v>-6.0801937823273901E-2</v>
      </c>
      <c r="G7" s="34">
        <v>-2.8890647225612898E-2</v>
      </c>
      <c r="H7" s="32">
        <v>-1.53541548228108E-2</v>
      </c>
      <c r="I7" s="26">
        <f t="shared" si="0"/>
        <v>-1.7205683979262684E-2</v>
      </c>
      <c r="J7" s="27">
        <f t="shared" si="1"/>
        <v>-0.11787120545057433</v>
      </c>
      <c r="K7" s="20">
        <f t="shared" si="2"/>
        <v>-1.2651909971288379E-2</v>
      </c>
      <c r="L7" s="28">
        <f t="shared" si="3"/>
        <v>1.2247675013877055</v>
      </c>
      <c r="M7" s="29">
        <f t="shared" si="4"/>
        <v>-0.69261532236147716</v>
      </c>
      <c r="N7" s="30">
        <f t="shared" si="5"/>
        <v>-0.1375765251536662</v>
      </c>
      <c r="O7" s="31">
        <f t="shared" si="6"/>
        <v>3.4655759599094199E-2</v>
      </c>
      <c r="P7" s="26">
        <f t="shared" si="7"/>
        <v>4.9784716341632285E-2</v>
      </c>
      <c r="Q7" s="6">
        <v>0.45293249771157101</v>
      </c>
      <c r="R7" s="6">
        <v>0.49493628631268699</v>
      </c>
      <c r="S7" s="6">
        <v>0.10958024683152499</v>
      </c>
      <c r="T7" s="6">
        <v>0.243566794035116</v>
      </c>
      <c r="U7" s="6">
        <v>0.44511017587693402</v>
      </c>
      <c r="V7" s="6">
        <v>0.486132038120899</v>
      </c>
    </row>
    <row r="8" spans="1:22" ht="14.4" x14ac:dyDescent="0.3">
      <c r="A8" s="19" t="s">
        <v>33</v>
      </c>
      <c r="B8" s="19" t="s">
        <v>34</v>
      </c>
      <c r="C8" s="35">
        <v>-6.1239168136106303E-2</v>
      </c>
      <c r="D8" s="36">
        <v>-0.14484208276355001</v>
      </c>
      <c r="E8" s="37">
        <v>-9.5079272342305995E-2</v>
      </c>
      <c r="F8" s="38">
        <v>-4.6096194163436098E-2</v>
      </c>
      <c r="G8" s="39">
        <v>-0.17602937396471899</v>
      </c>
      <c r="H8" s="40">
        <v>-0.13194482793955001</v>
      </c>
      <c r="I8" s="26">
        <f t="shared" si="0"/>
        <v>-0.1092051532182779</v>
      </c>
      <c r="J8" s="27">
        <f t="shared" si="1"/>
        <v>-0.43566315990584908</v>
      </c>
      <c r="K8" s="20">
        <f t="shared" si="2"/>
        <v>-1.6274655426963929</v>
      </c>
      <c r="L8" s="28">
        <f t="shared" si="3"/>
        <v>-0.83361848109355741</v>
      </c>
      <c r="M8" s="29">
        <f t="shared" si="4"/>
        <v>-0.51037651587479382</v>
      </c>
      <c r="N8" s="30">
        <f t="shared" si="5"/>
        <v>-2.0050382816208048</v>
      </c>
      <c r="O8" s="31">
        <f t="shared" si="6"/>
        <v>-1.4452403280187975</v>
      </c>
      <c r="P8" s="26">
        <f t="shared" si="7"/>
        <v>-1.1429003848683659</v>
      </c>
      <c r="Q8" s="6">
        <v>0.33102500601205498</v>
      </c>
      <c r="R8" s="6">
        <v>5.1258121827411698E-2</v>
      </c>
      <c r="S8" s="6">
        <v>0.201482309721039</v>
      </c>
      <c r="T8" s="6">
        <v>0.30431091390167397</v>
      </c>
      <c r="U8" s="41">
        <v>2.2132113520051198E-2</v>
      </c>
      <c r="V8" s="6">
        <v>7.3535444472799805E-2</v>
      </c>
    </row>
    <row r="9" spans="1:22" ht="14.4" x14ac:dyDescent="0.3">
      <c r="A9" s="19" t="s">
        <v>35</v>
      </c>
      <c r="B9" s="19" t="s">
        <v>34</v>
      </c>
      <c r="C9" s="42">
        <v>-3.8360275930836199E-2</v>
      </c>
      <c r="D9" s="43">
        <v>-7.2510070203108304E-2</v>
      </c>
      <c r="E9" s="44">
        <v>-7.0149691422652594E-2</v>
      </c>
      <c r="F9" s="45">
        <v>-3.9621913747068999E-2</v>
      </c>
      <c r="G9" s="46">
        <v>-7.6478469066823596E-2</v>
      </c>
      <c r="H9" s="47">
        <v>-0.10216146737964001</v>
      </c>
      <c r="I9" s="26">
        <f t="shared" si="0"/>
        <v>-6.6546981291688276E-2</v>
      </c>
      <c r="J9" s="27">
        <f t="shared" si="1"/>
        <v>-0.13348380543173816</v>
      </c>
      <c r="K9" s="20">
        <f t="shared" si="2"/>
        <v>-0.71497781383020398</v>
      </c>
      <c r="L9" s="28">
        <f t="shared" si="3"/>
        <v>-0.49357770291167791</v>
      </c>
      <c r="M9" s="29">
        <f t="shared" si="4"/>
        <v>-0.43014492995635273</v>
      </c>
      <c r="N9" s="30">
        <f t="shared" si="5"/>
        <v>-0.74155373313648754</v>
      </c>
      <c r="O9" s="31">
        <f t="shared" si="6"/>
        <v>-1.0671974057981548</v>
      </c>
      <c r="P9" s="26">
        <f t="shared" si="7"/>
        <v>-0.59682256517743582</v>
      </c>
      <c r="Q9" s="6">
        <v>0.44673318773563703</v>
      </c>
      <c r="R9" s="6">
        <v>0.236591253440742</v>
      </c>
      <c r="S9" s="6">
        <v>0.310233683779706</v>
      </c>
      <c r="T9" s="6">
        <v>0.33303485487159901</v>
      </c>
      <c r="U9" s="6">
        <v>0.22844635511762201</v>
      </c>
      <c r="V9" s="6">
        <v>0.14215682694519399</v>
      </c>
    </row>
    <row r="10" spans="1:22" ht="14.4" x14ac:dyDescent="0.3">
      <c r="A10" s="19" t="s">
        <v>36</v>
      </c>
      <c r="B10" s="19" t="s">
        <v>34</v>
      </c>
      <c r="C10" s="48">
        <v>8.9570862983632399E-2</v>
      </c>
      <c r="D10" s="49">
        <v>6.8288229780934406E-2</v>
      </c>
      <c r="E10" s="50">
        <v>1.36192332809034E-3</v>
      </c>
      <c r="F10" s="51">
        <v>3.5348376871443099E-2</v>
      </c>
      <c r="G10" s="52">
        <v>-3.3200511576246601E-2</v>
      </c>
      <c r="H10" s="21">
        <v>-9.16170478025293E-2</v>
      </c>
      <c r="I10" s="26">
        <f t="shared" si="0"/>
        <v>1.1625305597554059E-2</v>
      </c>
      <c r="J10" s="27">
        <f t="shared" si="1"/>
        <v>1.5562024183359975</v>
      </c>
      <c r="K10" s="20">
        <f t="shared" si="2"/>
        <v>1.0612304849960239</v>
      </c>
      <c r="L10" s="28">
        <f t="shared" si="3"/>
        <v>0.48184443544103855</v>
      </c>
      <c r="M10" s="29">
        <f t="shared" si="4"/>
        <v>0.49891357944704945</v>
      </c>
      <c r="N10" s="30">
        <f t="shared" si="5"/>
        <v>-0.19227665086999407</v>
      </c>
      <c r="O10" s="31">
        <f t="shared" si="6"/>
        <v>-0.93335612277594326</v>
      </c>
      <c r="P10" s="26">
        <f t="shared" si="7"/>
        <v>0.41209302409569543</v>
      </c>
      <c r="Q10" s="6">
        <v>5.92288779855712E-2</v>
      </c>
      <c r="R10" s="6">
        <v>0.14350745974495999</v>
      </c>
      <c r="S10" s="6">
        <v>0.31440000825341202</v>
      </c>
      <c r="T10" s="6">
        <v>0.308346970252591</v>
      </c>
      <c r="U10" s="6">
        <v>0.42351708299415203</v>
      </c>
      <c r="V10" s="6">
        <v>0.17453329454688901</v>
      </c>
    </row>
    <row r="11" spans="1:22" ht="14.4" x14ac:dyDescent="0.3">
      <c r="A11" s="19" t="s">
        <v>37</v>
      </c>
      <c r="B11" s="19" t="s">
        <v>34</v>
      </c>
      <c r="C11" s="53">
        <v>-4.1944635709660399E-4</v>
      </c>
      <c r="D11" s="54">
        <v>-4.7855334330368697E-2</v>
      </c>
      <c r="E11" s="55">
        <v>-5.49344542416434E-2</v>
      </c>
      <c r="F11" s="56">
        <v>-4.81604574845967E-2</v>
      </c>
      <c r="G11" s="57">
        <v>-0.113026878207659</v>
      </c>
      <c r="H11" s="58">
        <v>-8.7732261642540998E-2</v>
      </c>
      <c r="I11" s="26">
        <f t="shared" si="0"/>
        <v>-5.86881387106509E-2</v>
      </c>
      <c r="J11" s="27">
        <f t="shared" si="1"/>
        <v>0.36763029073782916</v>
      </c>
      <c r="K11" s="20">
        <f t="shared" si="2"/>
        <v>-0.40395171147320169</v>
      </c>
      <c r="L11" s="28">
        <f t="shared" si="3"/>
        <v>-0.28604107773024806</v>
      </c>
      <c r="M11" s="29">
        <f t="shared" si="4"/>
        <v>-0.53595760124009495</v>
      </c>
      <c r="N11" s="30">
        <f t="shared" si="5"/>
        <v>-1.205420437999607</v>
      </c>
      <c r="O11" s="31">
        <f t="shared" si="6"/>
        <v>-0.88404617639933714</v>
      </c>
      <c r="P11" s="26">
        <f t="shared" si="7"/>
        <v>-0.49129778568410992</v>
      </c>
      <c r="Q11" s="6">
        <v>0.35612731781476498</v>
      </c>
      <c r="R11" s="6">
        <v>0.34263965094344501</v>
      </c>
      <c r="S11" s="6">
        <v>0.38706598778309198</v>
      </c>
      <c r="T11" s="6">
        <v>0.29538993389486301</v>
      </c>
      <c r="U11" s="6">
        <v>0.113263570054628</v>
      </c>
      <c r="V11" s="6">
        <v>0.187558156865021</v>
      </c>
    </row>
    <row r="12" spans="1:22" ht="14.4" x14ac:dyDescent="0.3">
      <c r="A12" s="19" t="s">
        <v>38</v>
      </c>
      <c r="B12" s="19" t="s">
        <v>34</v>
      </c>
      <c r="C12" s="59">
        <v>-2.3260207075358201E-3</v>
      </c>
      <c r="D12" s="53">
        <v>-3.1447478749555897E-2</v>
      </c>
      <c r="E12" s="46">
        <v>-6.2659113118155793E-2</v>
      </c>
      <c r="F12" s="60">
        <v>-3.2303161972045302E-2</v>
      </c>
      <c r="G12" s="61">
        <v>-0.102700502291677</v>
      </c>
      <c r="H12" s="45">
        <v>-7.9592709688279806E-2</v>
      </c>
      <c r="I12" s="26">
        <f t="shared" si="0"/>
        <v>-5.1838164421208276E-2</v>
      </c>
      <c r="J12" s="27">
        <f t="shared" si="1"/>
        <v>0.34244867786498601</v>
      </c>
      <c r="K12" s="20">
        <f t="shared" si="2"/>
        <v>-0.19696221478265269</v>
      </c>
      <c r="L12" s="28">
        <f t="shared" si="3"/>
        <v>-0.39140582589928213</v>
      </c>
      <c r="M12" s="29">
        <f t="shared" si="4"/>
        <v>-0.33944835457028855</v>
      </c>
      <c r="N12" s="30">
        <f t="shared" si="5"/>
        <v>-1.0743596864668534</v>
      </c>
      <c r="O12" s="31">
        <f t="shared" si="6"/>
        <v>-0.78073009827692452</v>
      </c>
      <c r="P12" s="26">
        <f t="shared" si="7"/>
        <v>-0.4067429170218359</v>
      </c>
      <c r="Q12" s="6">
        <v>0.36558636078644502</v>
      </c>
      <c r="R12" s="6">
        <v>0.42167712626660098</v>
      </c>
      <c r="S12" s="6">
        <v>0.34727687071583901</v>
      </c>
      <c r="T12" s="6">
        <v>0.36671898322701102</v>
      </c>
      <c r="U12" s="6">
        <v>0.140547015108197</v>
      </c>
      <c r="V12" s="6">
        <v>0.21673213097359201</v>
      </c>
    </row>
    <row r="13" spans="1:22" ht="14.4" x14ac:dyDescent="0.3">
      <c r="A13" s="19" t="s">
        <v>39</v>
      </c>
      <c r="B13" s="19" t="s">
        <v>34</v>
      </c>
      <c r="C13" s="62">
        <v>-2.0629134471751801E-2</v>
      </c>
      <c r="D13" s="63">
        <v>-5.0947914439841299E-2</v>
      </c>
      <c r="E13" s="64">
        <v>-5.62218973877288E-2</v>
      </c>
      <c r="F13" s="20">
        <v>-5.1444512768261202E-2</v>
      </c>
      <c r="G13" s="26">
        <v>-7.6594495762508694E-2</v>
      </c>
      <c r="H13" s="65">
        <v>-6.1648697425476698E-2</v>
      </c>
      <c r="I13" s="26">
        <f t="shared" si="0"/>
        <v>-5.2914442042594746E-2</v>
      </c>
      <c r="J13" s="27">
        <f t="shared" si="1"/>
        <v>0.10070519428569867</v>
      </c>
      <c r="K13" s="20">
        <f t="shared" si="2"/>
        <v>-0.44296543859812232</v>
      </c>
      <c r="L13" s="28">
        <f t="shared" si="3"/>
        <v>-0.30360186909175374</v>
      </c>
      <c r="M13" s="29">
        <f t="shared" si="4"/>
        <v>-0.57665478250307267</v>
      </c>
      <c r="N13" s="30">
        <f t="shared" si="5"/>
        <v>-0.74302632585033757</v>
      </c>
      <c r="O13" s="31">
        <f t="shared" si="6"/>
        <v>-0.5529651078706963</v>
      </c>
      <c r="P13" s="26">
        <f t="shared" si="7"/>
        <v>-0.41975138827138059</v>
      </c>
      <c r="Q13" s="6">
        <v>0.45976183024901701</v>
      </c>
      <c r="R13" s="6">
        <v>0.32837284649988802</v>
      </c>
      <c r="S13" s="6">
        <v>0.380338298377979</v>
      </c>
      <c r="T13" s="6">
        <v>0.28145108026327897</v>
      </c>
      <c r="U13" s="6">
        <v>0.22799969373941001</v>
      </c>
      <c r="V13" s="6">
        <v>0.28952625459468101</v>
      </c>
    </row>
    <row r="14" spans="1:22" ht="14.4" x14ac:dyDescent="0.3">
      <c r="A14" s="19" t="s">
        <v>40</v>
      </c>
      <c r="B14" s="19" t="s">
        <v>34</v>
      </c>
      <c r="C14" s="66">
        <v>8.3507956549235506E-3</v>
      </c>
      <c r="D14" s="67">
        <v>4.0712723804804E-2</v>
      </c>
      <c r="E14" s="68">
        <v>-6.4765838266295506E-2</v>
      </c>
      <c r="F14" s="69">
        <v>3.4597735663748401E-2</v>
      </c>
      <c r="G14" s="70">
        <v>3.9664253314054501E-2</v>
      </c>
      <c r="H14" s="71">
        <v>-5.96138094369114E-2</v>
      </c>
      <c r="I14" s="26">
        <f t="shared" si="0"/>
        <v>-1.756898776127426E-4</v>
      </c>
      <c r="J14" s="27">
        <f t="shared" si="1"/>
        <v>0.48346570995290428</v>
      </c>
      <c r="K14" s="20">
        <f t="shared" si="2"/>
        <v>0.71335808479881846</v>
      </c>
      <c r="L14" s="28">
        <f t="shared" si="3"/>
        <v>-0.42014166630901828</v>
      </c>
      <c r="M14" s="29">
        <f t="shared" si="4"/>
        <v>0.48961136658694093</v>
      </c>
      <c r="N14" s="30">
        <f t="shared" si="5"/>
        <v>0.73251157342855111</v>
      </c>
      <c r="O14" s="31">
        <f t="shared" si="6"/>
        <v>-0.52713608834009318</v>
      </c>
      <c r="P14" s="26">
        <f t="shared" si="7"/>
        <v>0.24527816335301722</v>
      </c>
      <c r="Q14" s="6">
        <v>0.31382288992305302</v>
      </c>
      <c r="R14" s="6">
        <v>0.23709277579923899</v>
      </c>
      <c r="S14" s="6">
        <v>0.33669046383644502</v>
      </c>
      <c r="T14" s="6">
        <v>0.31163938854272399</v>
      </c>
      <c r="U14" s="6">
        <v>0.23119974137204999</v>
      </c>
      <c r="V14" s="6">
        <v>0.298452690903665</v>
      </c>
    </row>
    <row r="15" spans="1:22" ht="14.4" x14ac:dyDescent="0.3">
      <c r="A15" s="19" t="s">
        <v>41</v>
      </c>
      <c r="B15" s="19" t="s">
        <v>34</v>
      </c>
      <c r="C15" s="61">
        <v>-4.6177230767636801E-2</v>
      </c>
      <c r="D15" s="72">
        <v>-6.4091379905099805E-2</v>
      </c>
      <c r="E15" s="73">
        <v>-5.6690058531759902E-2</v>
      </c>
      <c r="F15" s="23">
        <v>3.5442207022404998E-2</v>
      </c>
      <c r="G15" s="74">
        <v>-1.9625388181079E-2</v>
      </c>
      <c r="H15" s="75">
        <v>-5.9243829802626803E-2</v>
      </c>
      <c r="I15" s="26">
        <f t="shared" si="0"/>
        <v>-3.5064280027632885E-2</v>
      </c>
      <c r="J15" s="27">
        <f t="shared" si="1"/>
        <v>-0.23672841821039248</v>
      </c>
      <c r="K15" s="20">
        <f t="shared" si="2"/>
        <v>-0.60877377887903428</v>
      </c>
      <c r="L15" s="28">
        <f t="shared" si="3"/>
        <v>-0.30998761140502917</v>
      </c>
      <c r="M15" s="29">
        <f t="shared" si="4"/>
        <v>0.5000763560545638</v>
      </c>
      <c r="N15" s="30">
        <f t="shared" si="5"/>
        <v>-1.9983303349404742E-2</v>
      </c>
      <c r="O15" s="31">
        <f t="shared" si="6"/>
        <v>-0.52243990297089249</v>
      </c>
      <c r="P15" s="26">
        <f t="shared" si="7"/>
        <v>-0.19963944312669826</v>
      </c>
      <c r="Q15" s="6">
        <v>0.40613415687854598</v>
      </c>
      <c r="R15" s="6">
        <v>0.27067924047831399</v>
      </c>
      <c r="S15" s="6">
        <v>0.37790069361429102</v>
      </c>
      <c r="T15" s="6">
        <v>0.307936492446993</v>
      </c>
      <c r="U15" s="6">
        <v>0.49200234070251098</v>
      </c>
      <c r="V15" s="6">
        <v>0.30008903978189799</v>
      </c>
    </row>
    <row r="16" spans="1:22" ht="14.4" x14ac:dyDescent="0.3">
      <c r="A16" s="19" t="s">
        <v>42</v>
      </c>
      <c r="B16" s="19" t="s">
        <v>34</v>
      </c>
      <c r="C16" s="76">
        <v>-4.17921097616267E-2</v>
      </c>
      <c r="D16" s="77">
        <v>-1.22906630714341E-2</v>
      </c>
      <c r="E16" s="78">
        <v>-2.3801738163578501E-2</v>
      </c>
      <c r="F16" s="79">
        <v>4.8578428157062897E-2</v>
      </c>
      <c r="G16" s="80">
        <v>1.6226860785645499E-2</v>
      </c>
      <c r="H16" s="68">
        <v>-5.9243829802626803E-2</v>
      </c>
      <c r="I16" s="26">
        <f t="shared" si="0"/>
        <v>-1.2053841976092952E-2</v>
      </c>
      <c r="J16" s="27">
        <f t="shared" si="1"/>
        <v>-0.17881070860285458</v>
      </c>
      <c r="K16" s="20">
        <f t="shared" si="2"/>
        <v>4.4706150463381507E-2</v>
      </c>
      <c r="L16" s="28">
        <f t="shared" si="3"/>
        <v>0.13861078610252284</v>
      </c>
      <c r="M16" s="29">
        <f t="shared" si="4"/>
        <v>0.66286508110647357</v>
      </c>
      <c r="N16" s="30">
        <f t="shared" si="5"/>
        <v>0.4350478452306108</v>
      </c>
      <c r="O16" s="31">
        <f t="shared" si="6"/>
        <v>-0.52243990297089249</v>
      </c>
      <c r="P16" s="26">
        <f t="shared" si="7"/>
        <v>9.6663208554873634E-2</v>
      </c>
      <c r="Q16" s="6">
        <v>0.42881412967639798</v>
      </c>
      <c r="R16" s="6">
        <v>0.48211263397715698</v>
      </c>
      <c r="S16" s="6">
        <v>0.44470017311085602</v>
      </c>
      <c r="T16" s="6">
        <v>0.25301636288516099</v>
      </c>
      <c r="U16" s="6">
        <v>0.33124887611769999</v>
      </c>
      <c r="V16" s="6">
        <v>0.30008903978189799</v>
      </c>
    </row>
    <row r="17" spans="1:22" ht="14.4" x14ac:dyDescent="0.3">
      <c r="A17" s="19" t="s">
        <v>43</v>
      </c>
      <c r="B17" s="81" t="s">
        <v>34</v>
      </c>
      <c r="C17" s="82">
        <v>5.8722489993526398E-3</v>
      </c>
      <c r="D17" s="83">
        <v>5.0763609160589702E-2</v>
      </c>
      <c r="E17" s="84">
        <v>-5.0252842801332902E-2</v>
      </c>
      <c r="F17" s="85">
        <v>-3.3898274538396597E-2</v>
      </c>
      <c r="G17" s="86">
        <v>-4.6079474797302997E-2</v>
      </c>
      <c r="H17" s="87">
        <v>-5.88738501683422E-2</v>
      </c>
      <c r="I17" s="26">
        <f t="shared" si="0"/>
        <v>-2.207809735757206E-2</v>
      </c>
      <c r="J17" s="27">
        <f t="shared" si="1"/>
        <v>0.4507296132182092</v>
      </c>
      <c r="K17" s="20">
        <f t="shared" si="2"/>
        <v>0.84015269795480729</v>
      </c>
      <c r="L17" s="28">
        <f t="shared" si="3"/>
        <v>-0.22218365459750072</v>
      </c>
      <c r="M17" s="29">
        <f t="shared" si="4"/>
        <v>-0.35921555689802021</v>
      </c>
      <c r="N17" s="30">
        <f t="shared" si="5"/>
        <v>-0.35573444210747568</v>
      </c>
      <c r="O17" s="31">
        <f t="shared" si="6"/>
        <v>-0.51774371760169191</v>
      </c>
      <c r="P17" s="26">
        <f t="shared" si="7"/>
        <v>-2.7332510005278653E-2</v>
      </c>
      <c r="Q17" s="6">
        <v>0.32556238680521599</v>
      </c>
      <c r="R17" s="6">
        <v>0.199643914146312</v>
      </c>
      <c r="S17" s="6">
        <v>0.41180333610271702</v>
      </c>
      <c r="T17" s="6">
        <v>0.35927866707575401</v>
      </c>
      <c r="U17" s="6">
        <v>0.36058517667381901</v>
      </c>
      <c r="V17" s="6">
        <v>0.301729434626958</v>
      </c>
    </row>
    <row r="18" spans="1:22" ht="14.4" x14ac:dyDescent="0.3">
      <c r="A18" s="19" t="s">
        <v>44</v>
      </c>
      <c r="B18" s="19" t="s">
        <v>34</v>
      </c>
      <c r="C18" s="88">
        <v>-1.81505878161809E-2</v>
      </c>
      <c r="D18" s="89">
        <v>-7.0963780148372096E-2</v>
      </c>
      <c r="E18" s="90">
        <v>-2.33335770195475E-2</v>
      </c>
      <c r="F18" s="47">
        <v>4.8390767855139301E-2</v>
      </c>
      <c r="G18" s="91">
        <v>5.6140044101351899E-2</v>
      </c>
      <c r="H18" s="92">
        <v>-5.5729023276923098E-2</v>
      </c>
      <c r="I18" s="26">
        <f t="shared" si="0"/>
        <v>-1.0607692717422066E-2</v>
      </c>
      <c r="J18" s="27">
        <f t="shared" si="1"/>
        <v>0.13344129102039368</v>
      </c>
      <c r="K18" s="20">
        <f t="shared" si="2"/>
        <v>-0.69547095026774486</v>
      </c>
      <c r="L18" s="28">
        <f t="shared" si="3"/>
        <v>0.14499652841579688</v>
      </c>
      <c r="M18" s="29">
        <f t="shared" si="4"/>
        <v>0.66053952789144743</v>
      </c>
      <c r="N18" s="30">
        <f t="shared" si="5"/>
        <v>0.94161973879541983</v>
      </c>
      <c r="O18" s="31">
        <f t="shared" si="6"/>
        <v>-0.47782614196348705</v>
      </c>
      <c r="P18" s="26">
        <f t="shared" si="7"/>
        <v>0.11788333231530435</v>
      </c>
      <c r="Q18" s="6">
        <v>0.44675005201234202</v>
      </c>
      <c r="R18" s="6">
        <v>0.24266989476968301</v>
      </c>
      <c r="S18" s="6">
        <v>0.44217005743981802</v>
      </c>
      <c r="T18" s="6">
        <v>0.25376307226528699</v>
      </c>
      <c r="U18" s="6">
        <v>0.17240809274279001</v>
      </c>
      <c r="V18" s="6">
        <v>0.31583233786082598</v>
      </c>
    </row>
    <row r="19" spans="1:22" ht="14.4" x14ac:dyDescent="0.3">
      <c r="A19" s="19" t="s">
        <v>45</v>
      </c>
      <c r="B19" s="81" t="s">
        <v>34</v>
      </c>
      <c r="C19" s="93">
        <v>1.6358407926768102E-2</v>
      </c>
      <c r="D19" s="45">
        <v>3.5042993604104199E-2</v>
      </c>
      <c r="E19" s="94">
        <v>-6.1722790830093702E-2</v>
      </c>
      <c r="F19" s="84">
        <v>3.2064321587778701E-2</v>
      </c>
      <c r="G19" s="82">
        <v>-1.2431733048597E-2</v>
      </c>
      <c r="H19" s="95">
        <v>-5.4989064008353898E-2</v>
      </c>
      <c r="I19" s="26">
        <f t="shared" si="0"/>
        <v>-7.6129774613989329E-3</v>
      </c>
      <c r="J19" s="27">
        <f t="shared" si="1"/>
        <v>0.58922848401884331</v>
      </c>
      <c r="K19" s="20">
        <f t="shared" si="2"/>
        <v>0.64183291840313028</v>
      </c>
      <c r="L19" s="28">
        <f t="shared" si="3"/>
        <v>-0.37863434127273277</v>
      </c>
      <c r="M19" s="29">
        <f t="shared" si="4"/>
        <v>0.45821639818407306</v>
      </c>
      <c r="N19" s="30">
        <f t="shared" si="5"/>
        <v>7.1317444909369379E-2</v>
      </c>
      <c r="O19" s="31">
        <f t="shared" si="6"/>
        <v>-0.46843377122508578</v>
      </c>
      <c r="P19" s="26">
        <f t="shared" si="7"/>
        <v>0.15225452216959959</v>
      </c>
      <c r="Q19" s="6">
        <v>0.27720964848268898</v>
      </c>
      <c r="R19" s="6">
        <v>0.25981138770498802</v>
      </c>
      <c r="S19" s="6">
        <v>0.35202107266979099</v>
      </c>
      <c r="T19" s="6">
        <v>0.32286169337876702</v>
      </c>
      <c r="U19" s="6">
        <v>0.47147996484270699</v>
      </c>
      <c r="V19" s="6">
        <v>0.31919104512486801</v>
      </c>
    </row>
    <row r="20" spans="1:22" ht="14.4" x14ac:dyDescent="0.3">
      <c r="A20" s="19" t="s">
        <v>46</v>
      </c>
      <c r="B20" s="19" t="s">
        <v>34</v>
      </c>
      <c r="C20" s="29">
        <v>4.0190587307257802E-2</v>
      </c>
      <c r="D20" s="96">
        <v>3.0575933445977199E-2</v>
      </c>
      <c r="E20" s="78">
        <v>-2.4972141023656198E-2</v>
      </c>
      <c r="F20" s="97">
        <v>8.71426202023802E-2</v>
      </c>
      <c r="G20" s="98">
        <v>2.5392969744775701E-2</v>
      </c>
      <c r="H20" s="73">
        <v>-5.3139165836930902E-2</v>
      </c>
      <c r="I20" s="26">
        <f t="shared" si="0"/>
        <v>1.7531800639967302E-2</v>
      </c>
      <c r="J20" s="27">
        <f t="shared" si="1"/>
        <v>0.90399864492937554</v>
      </c>
      <c r="K20" s="20">
        <f t="shared" si="2"/>
        <v>0.58547975700046828</v>
      </c>
      <c r="L20" s="28">
        <f t="shared" si="3"/>
        <v>0.122646430319335</v>
      </c>
      <c r="M20" s="29">
        <f t="shared" si="4"/>
        <v>1.1407662667945824</v>
      </c>
      <c r="N20" s="30">
        <f t="shared" si="5"/>
        <v>0.55138266962485405</v>
      </c>
      <c r="O20" s="31">
        <f t="shared" si="6"/>
        <v>-0.444952844379083</v>
      </c>
      <c r="P20" s="26">
        <f t="shared" si="7"/>
        <v>0.4765534873815887</v>
      </c>
      <c r="Q20" s="6">
        <v>0.18221712767840101</v>
      </c>
      <c r="R20" s="6">
        <v>0.27847091313539402</v>
      </c>
      <c r="S20" s="6">
        <v>0.45103510520817103</v>
      </c>
      <c r="T20" s="6">
        <v>0.12621061657562799</v>
      </c>
      <c r="U20" s="6">
        <v>0.29006951918200502</v>
      </c>
      <c r="V20" s="6">
        <v>0.32765251599753598</v>
      </c>
    </row>
    <row r="21" spans="1:22" ht="14.4" x14ac:dyDescent="0.3">
      <c r="A21" s="19" t="s">
        <v>47</v>
      </c>
      <c r="B21" s="19" t="s">
        <v>34</v>
      </c>
      <c r="C21" s="90">
        <v>7.0123804609152907E-2</v>
      </c>
      <c r="D21" s="99">
        <v>9.3573976948738008E-3</v>
      </c>
      <c r="E21" s="100">
        <v>-2.9419671891951198E-2</v>
      </c>
      <c r="F21" s="101">
        <v>5.2237804044574801E-2</v>
      </c>
      <c r="G21" s="52">
        <v>2.18763060773715E-3</v>
      </c>
      <c r="H21" s="102">
        <v>-4.6109552785523401E-2</v>
      </c>
      <c r="I21" s="26">
        <f t="shared" si="0"/>
        <v>9.7295687131440083E-3</v>
      </c>
      <c r="J21" s="27">
        <f t="shared" si="1"/>
        <v>1.2993499670330046</v>
      </c>
      <c r="K21" s="20">
        <f t="shared" si="2"/>
        <v>0.31780224033782201</v>
      </c>
      <c r="L21" s="28">
        <f t="shared" si="3"/>
        <v>6.1981878343224682E-2</v>
      </c>
      <c r="M21" s="29">
        <f t="shared" si="4"/>
        <v>0.70821336879950636</v>
      </c>
      <c r="N21" s="30">
        <f t="shared" si="5"/>
        <v>0.25686412685461707</v>
      </c>
      <c r="O21" s="31">
        <f t="shared" si="6"/>
        <v>-0.35572532236427074</v>
      </c>
      <c r="P21" s="26">
        <f t="shared" si="7"/>
        <v>0.38141437650065063</v>
      </c>
      <c r="Q21" s="6">
        <v>9.6186826613396698E-2</v>
      </c>
      <c r="R21" s="6">
        <v>0.37492425653059303</v>
      </c>
      <c r="S21" s="6">
        <v>0.475208110736897</v>
      </c>
      <c r="T21" s="6">
        <v>0.23868961986360299</v>
      </c>
      <c r="U21" s="6">
        <v>0.39831837984788798</v>
      </c>
      <c r="V21" s="6">
        <v>0.36058860158328299</v>
      </c>
    </row>
    <row r="22" spans="1:22" ht="14.4" x14ac:dyDescent="0.3">
      <c r="A22" s="19" t="s">
        <v>48</v>
      </c>
      <c r="B22" s="19" t="s">
        <v>34</v>
      </c>
      <c r="C22" s="103">
        <v>2.4404151685620901E-3</v>
      </c>
      <c r="D22" s="92">
        <v>-2.3973743484997201E-2</v>
      </c>
      <c r="E22" s="104">
        <v>-2.0524610155361198E-2</v>
      </c>
      <c r="F22" s="105">
        <v>8.6861129749494698E-2</v>
      </c>
      <c r="G22" s="106">
        <v>-1.5448427136412099E-2</v>
      </c>
      <c r="H22" s="107">
        <v>-4.55545833340966E-2</v>
      </c>
      <c r="I22" s="26">
        <f t="shared" si="0"/>
        <v>-2.6999698654683857E-3</v>
      </c>
      <c r="J22" s="27">
        <f t="shared" si="1"/>
        <v>0.40540271004709205</v>
      </c>
      <c r="K22" s="20">
        <f t="shared" si="2"/>
        <v>-0.10267904089742899</v>
      </c>
      <c r="L22" s="28">
        <f t="shared" si="3"/>
        <v>0.18331098229544532</v>
      </c>
      <c r="M22" s="29">
        <f t="shared" si="4"/>
        <v>1.1372779369720418</v>
      </c>
      <c r="N22" s="30">
        <f t="shared" si="5"/>
        <v>3.3030034349237444E-2</v>
      </c>
      <c r="O22" s="31">
        <f t="shared" si="6"/>
        <v>-0.34868104431047109</v>
      </c>
      <c r="P22" s="26">
        <f t="shared" si="7"/>
        <v>0.2179435964093194</v>
      </c>
      <c r="Q22" s="6">
        <v>0.342104842300682</v>
      </c>
      <c r="R22" s="6">
        <v>0.45897591125989001</v>
      </c>
      <c r="S22" s="6">
        <v>0.42704239775914399</v>
      </c>
      <c r="T22" s="6">
        <v>0.126937358809464</v>
      </c>
      <c r="U22" s="6">
        <v>0.48678234969031497</v>
      </c>
      <c r="V22" s="6">
        <v>0.36323739368646002</v>
      </c>
    </row>
    <row r="23" spans="1:22" ht="15.75" customHeight="1" x14ac:dyDescent="0.3">
      <c r="A23" s="19" t="s">
        <v>49</v>
      </c>
      <c r="B23" s="19" t="s">
        <v>34</v>
      </c>
      <c r="C23" s="60">
        <v>-1.26215221999073E-2</v>
      </c>
      <c r="D23" s="108">
        <v>-6.8300725054104006E-2</v>
      </c>
      <c r="E23" s="109">
        <v>-3.2228638756137497E-2</v>
      </c>
      <c r="F23" s="50">
        <v>6.3122101556148599E-2</v>
      </c>
      <c r="G23" s="66">
        <v>2.6553236701627601E-2</v>
      </c>
      <c r="H23" s="91">
        <v>-4.2964725894104397E-2</v>
      </c>
      <c r="I23" s="26">
        <f t="shared" si="0"/>
        <v>-1.1073378941079501E-2</v>
      </c>
      <c r="J23" s="27">
        <f t="shared" si="1"/>
        <v>0.20646796835163703</v>
      </c>
      <c r="K23" s="20">
        <f t="shared" si="2"/>
        <v>-0.66187579635461857</v>
      </c>
      <c r="L23" s="28">
        <f t="shared" si="3"/>
        <v>2.3667424463576291E-2</v>
      </c>
      <c r="M23" s="29">
        <f t="shared" si="4"/>
        <v>0.84309545527109009</v>
      </c>
      <c r="N23" s="30">
        <f t="shared" si="5"/>
        <v>0.56610859676336567</v>
      </c>
      <c r="O23" s="31">
        <f t="shared" si="6"/>
        <v>-0.31580774672606698</v>
      </c>
      <c r="P23" s="26">
        <f t="shared" si="7"/>
        <v>0.11027598362816393</v>
      </c>
      <c r="Q23" s="6">
        <v>0.41794963670434099</v>
      </c>
      <c r="R23" s="6">
        <v>0.253333869902926</v>
      </c>
      <c r="S23" s="6">
        <v>0.49052814802600397</v>
      </c>
      <c r="T23" s="6">
        <v>0.19881927933456001</v>
      </c>
      <c r="U23" s="6">
        <v>0.285032554425588</v>
      </c>
      <c r="V23" s="6">
        <v>0.37568321983752001</v>
      </c>
    </row>
    <row r="24" spans="1:22" ht="15.75" customHeight="1" x14ac:dyDescent="0.3">
      <c r="A24" s="19" t="s">
        <v>50</v>
      </c>
      <c r="B24" s="19" t="s">
        <v>34</v>
      </c>
      <c r="C24" s="110">
        <v>-5.5938891441885297E-2</v>
      </c>
      <c r="D24" s="20">
        <v>-4.7408628314555903E-2</v>
      </c>
      <c r="E24" s="111">
        <v>-6.9447449706606004E-2</v>
      </c>
      <c r="F24" s="39">
        <v>-2.9300597141266399E-2</v>
      </c>
      <c r="G24" s="112">
        <v>8.2983699138239695E-3</v>
      </c>
      <c r="H24" s="33">
        <v>-3.9318744770790604E-3</v>
      </c>
      <c r="I24" s="26">
        <f t="shared" si="0"/>
        <v>-3.2954845194594788E-2</v>
      </c>
      <c r="J24" s="27">
        <f t="shared" si="1"/>
        <v>-0.36565827611934537</v>
      </c>
      <c r="K24" s="20">
        <f t="shared" si="2"/>
        <v>-0.39831639533293428</v>
      </c>
      <c r="L24" s="28">
        <f t="shared" si="3"/>
        <v>-0.48399908944176556</v>
      </c>
      <c r="M24" s="29">
        <f t="shared" si="4"/>
        <v>-0.30223950312985259</v>
      </c>
      <c r="N24" s="30">
        <f t="shared" si="5"/>
        <v>0.3344206764507795</v>
      </c>
      <c r="O24" s="31">
        <f t="shared" si="6"/>
        <v>0.17963980972459453</v>
      </c>
      <c r="P24" s="26">
        <f t="shared" si="7"/>
        <v>-0.17269212964142064</v>
      </c>
      <c r="Q24" s="6">
        <v>0.35686497285625202</v>
      </c>
      <c r="R24" s="6">
        <v>0.34471969865311802</v>
      </c>
      <c r="S24" s="6">
        <v>0.31363312449083802</v>
      </c>
      <c r="T24" s="6">
        <v>0.38085896842723999</v>
      </c>
      <c r="U24" s="6">
        <v>0.36861953207008502</v>
      </c>
      <c r="V24" s="6">
        <v>0.42848760840776901</v>
      </c>
    </row>
    <row r="25" spans="1:22" ht="15.75" customHeight="1" x14ac:dyDescent="0.3">
      <c r="A25" s="19" t="s">
        <v>51</v>
      </c>
      <c r="B25" s="19" t="s">
        <v>34</v>
      </c>
      <c r="C25" s="113">
        <v>-7.0835592366650102E-2</v>
      </c>
      <c r="D25" s="114">
        <v>-4.1441094103314501E-2</v>
      </c>
      <c r="E25" s="31">
        <v>-6.9681530278621506E-2</v>
      </c>
      <c r="F25" s="42">
        <v>1.7364264603756601E-2</v>
      </c>
      <c r="G25" s="115">
        <v>4.50401568808017E-2</v>
      </c>
      <c r="H25" s="95">
        <v>1.1113963983827999E-2</v>
      </c>
      <c r="I25" s="26">
        <f t="shared" si="0"/>
        <v>-1.8073305213366638E-2</v>
      </c>
      <c r="J25" s="27">
        <f t="shared" si="1"/>
        <v>-0.56241061136582271</v>
      </c>
      <c r="K25" s="20">
        <f t="shared" si="2"/>
        <v>-0.32303435151040444</v>
      </c>
      <c r="L25" s="28">
        <f t="shared" si="3"/>
        <v>-0.48719196059840264</v>
      </c>
      <c r="M25" s="29">
        <f t="shared" si="4"/>
        <v>0.27604806300693385</v>
      </c>
      <c r="N25" s="30">
        <f t="shared" si="5"/>
        <v>0.80074170250365528</v>
      </c>
      <c r="O25" s="31">
        <f t="shared" si="6"/>
        <v>0.37061801473875133</v>
      </c>
      <c r="P25" s="26">
        <f t="shared" si="7"/>
        <v>1.2461809462451789E-2</v>
      </c>
      <c r="Q25" s="6">
        <v>0.28629351231875</v>
      </c>
      <c r="R25" s="6">
        <v>0.37293559228053003</v>
      </c>
      <c r="S25" s="6">
        <v>0.31249819907337201</v>
      </c>
      <c r="T25" s="6">
        <v>0.39090974420708602</v>
      </c>
      <c r="U25" s="6">
        <v>0.210885006936846</v>
      </c>
      <c r="V25" s="6">
        <v>0.35501075082757499</v>
      </c>
    </row>
    <row r="26" spans="1:22" ht="15.75" customHeight="1" x14ac:dyDescent="0.3">
      <c r="A26" s="19" t="s">
        <v>52</v>
      </c>
      <c r="B26" s="19" t="s">
        <v>34</v>
      </c>
      <c r="C26" s="116">
        <v>-0.16610075741026001</v>
      </c>
      <c r="D26" s="117">
        <v>-6.6410814987204095E-2</v>
      </c>
      <c r="E26" s="72">
        <v>-3.66761696244325E-2</v>
      </c>
      <c r="F26" s="118">
        <v>-1.8322469478730698E-2</v>
      </c>
      <c r="G26" s="87">
        <v>-1.4984320353671299E-2</v>
      </c>
      <c r="H26" s="119">
        <v>1.7711934128570101E-2</v>
      </c>
      <c r="I26" s="26">
        <f t="shared" si="0"/>
        <v>-4.7463766287621417E-2</v>
      </c>
      <c r="J26" s="27">
        <f t="shared" si="1"/>
        <v>-1.8206518679121781</v>
      </c>
      <c r="K26" s="20">
        <f t="shared" si="2"/>
        <v>-0.63803407422272274</v>
      </c>
      <c r="L26" s="28">
        <f t="shared" si="3"/>
        <v>-3.6997127512534082E-2</v>
      </c>
      <c r="M26" s="29">
        <f t="shared" si="4"/>
        <v>-0.16619464005075446</v>
      </c>
      <c r="N26" s="30">
        <f t="shared" si="5"/>
        <v>3.8920405204642551E-2</v>
      </c>
      <c r="O26" s="31">
        <f t="shared" si="6"/>
        <v>0.4543666538228292</v>
      </c>
      <c r="P26" s="26">
        <f t="shared" si="7"/>
        <v>-0.36143177511178637</v>
      </c>
      <c r="Q26" s="41">
        <v>3.3880567032485397E-2</v>
      </c>
      <c r="R26" s="6">
        <v>0.261048672856179</v>
      </c>
      <c r="S26" s="6">
        <v>0.48519552528123699</v>
      </c>
      <c r="T26" s="6">
        <v>0.43378854471456701</v>
      </c>
      <c r="U26" s="6">
        <v>0.48442630325347202</v>
      </c>
      <c r="V26" s="6">
        <v>0.32424924904482999</v>
      </c>
    </row>
    <row r="27" spans="1:22" ht="15.75" customHeight="1" x14ac:dyDescent="0.3">
      <c r="A27" s="19" t="s">
        <v>53</v>
      </c>
      <c r="B27" s="19" t="s">
        <v>34</v>
      </c>
      <c r="C27" s="120">
        <v>6.0152420756355997E-2</v>
      </c>
      <c r="D27" s="33">
        <v>2.2678920802798801E-2</v>
      </c>
      <c r="E27" s="121">
        <v>-8.6024610215704594E-3</v>
      </c>
      <c r="F27" s="122">
        <v>4.3161869442447501E-2</v>
      </c>
      <c r="G27" s="84">
        <v>0.10239355894218199</v>
      </c>
      <c r="H27" s="123">
        <v>1.8498981714229899E-2</v>
      </c>
      <c r="I27" s="26">
        <f t="shared" si="0"/>
        <v>3.9713881772740621E-2</v>
      </c>
      <c r="J27" s="27">
        <f t="shared" si="1"/>
        <v>1.1676501317080377</v>
      </c>
      <c r="K27" s="20">
        <f t="shared" si="2"/>
        <v>0.48585682551380377</v>
      </c>
      <c r="L27" s="28">
        <f t="shared" si="3"/>
        <v>0.34592971552327156</v>
      </c>
      <c r="M27" s="29">
        <f t="shared" si="4"/>
        <v>0.59574115876364109</v>
      </c>
      <c r="N27" s="30">
        <f t="shared" si="5"/>
        <v>1.5286621305689412</v>
      </c>
      <c r="O27" s="31">
        <f t="shared" si="6"/>
        <v>0.4643567208809446</v>
      </c>
      <c r="P27" s="26">
        <f t="shared" si="7"/>
        <v>0.76469944715977345</v>
      </c>
      <c r="Q27" s="6">
        <v>0.12070701031205</v>
      </c>
      <c r="R27" s="6">
        <v>0.31297256544618102</v>
      </c>
      <c r="S27" s="6">
        <v>0.36427373632245102</v>
      </c>
      <c r="T27" s="6">
        <v>0.27502511656504097</v>
      </c>
      <c r="U27" s="6">
        <v>6.25579367851304E-2</v>
      </c>
      <c r="V27" s="6">
        <v>0.320653649854657</v>
      </c>
    </row>
    <row r="28" spans="1:22" ht="15.75" customHeight="1" x14ac:dyDescent="0.3">
      <c r="A28" s="19" t="s">
        <v>54</v>
      </c>
      <c r="B28" s="19" t="s">
        <v>34</v>
      </c>
      <c r="C28" s="124">
        <v>-2.1925605030050501E-2</v>
      </c>
      <c r="D28" s="65">
        <v>-2.4179915492295399E-2</v>
      </c>
      <c r="E28" s="69">
        <v>-7.7562242869810893E-2</v>
      </c>
      <c r="F28" s="125">
        <v>7.3557151678268302E-3</v>
      </c>
      <c r="G28" s="126">
        <v>2.1602764352392698E-2</v>
      </c>
      <c r="H28" s="126">
        <v>2.2953312280935199E-2</v>
      </c>
      <c r="I28" s="26">
        <f t="shared" si="0"/>
        <v>-1.1959328598500345E-2</v>
      </c>
      <c r="J28" s="27">
        <f t="shared" si="1"/>
        <v>8.358169753216492E-2</v>
      </c>
      <c r="K28" s="20">
        <f t="shared" si="2"/>
        <v>-0.10527995603909067</v>
      </c>
      <c r="L28" s="28">
        <f t="shared" si="3"/>
        <v>-0.59468528953852795</v>
      </c>
      <c r="M28" s="29">
        <f t="shared" si="4"/>
        <v>0.15201855820547949</v>
      </c>
      <c r="N28" s="30">
        <f t="shared" si="5"/>
        <v>0.50327797430571486</v>
      </c>
      <c r="O28" s="31">
        <f t="shared" si="6"/>
        <v>0.52089594655316984</v>
      </c>
      <c r="P28" s="26">
        <f t="shared" si="7"/>
        <v>9.3301488503151744E-2</v>
      </c>
      <c r="Q28" s="6">
        <v>0.46658609946708801</v>
      </c>
      <c r="R28" s="6">
        <v>0.45794056006611</v>
      </c>
      <c r="S28" s="6">
        <v>0.27537870768919198</v>
      </c>
      <c r="T28" s="6">
        <v>0.43939056096644202</v>
      </c>
      <c r="U28" s="6">
        <v>0.30680751489806801</v>
      </c>
      <c r="V28" s="6">
        <v>0.300627904303641</v>
      </c>
    </row>
    <row r="29" spans="1:22" ht="15.75" customHeight="1" x14ac:dyDescent="0.3">
      <c r="A29" s="19" t="s">
        <v>55</v>
      </c>
      <c r="B29" s="19" t="s">
        <v>34</v>
      </c>
      <c r="C29" s="24">
        <v>-3.47377846650017E-2</v>
      </c>
      <c r="D29" s="127">
        <v>-5.6875359649663698E-2</v>
      </c>
      <c r="E29" s="45">
        <v>-1.95882878672991E-2</v>
      </c>
      <c r="F29" s="128">
        <v>-4.8348117786520303E-2</v>
      </c>
      <c r="G29" s="27">
        <v>-5.5361610452118501E-2</v>
      </c>
      <c r="H29" s="129">
        <v>2.3816598094265999E-2</v>
      </c>
      <c r="I29" s="26">
        <f t="shared" si="0"/>
        <v>-3.1849093721056217E-2</v>
      </c>
      <c r="J29" s="27">
        <f t="shared" si="1"/>
        <v>-8.5638740973336389E-2</v>
      </c>
      <c r="K29" s="20">
        <f t="shared" si="2"/>
        <v>-0.51774174892088576</v>
      </c>
      <c r="L29" s="28">
        <f t="shared" si="3"/>
        <v>0.19608246692199477</v>
      </c>
      <c r="M29" s="29">
        <f t="shared" si="4"/>
        <v>-0.5382831544551212</v>
      </c>
      <c r="N29" s="30">
        <f t="shared" si="5"/>
        <v>-0.47354185921557163</v>
      </c>
      <c r="O29" s="31">
        <f t="shared" si="6"/>
        <v>0.53185371241463875</v>
      </c>
      <c r="P29" s="26">
        <f t="shared" si="7"/>
        <v>-0.14787822070471357</v>
      </c>
      <c r="Q29" s="6">
        <v>0.46576574149231897</v>
      </c>
      <c r="R29" s="6">
        <v>0.30173012313912501</v>
      </c>
      <c r="S29" s="6">
        <v>0.422022462106597</v>
      </c>
      <c r="T29" s="6">
        <v>0.29458493579019401</v>
      </c>
      <c r="U29" s="6">
        <v>0.317362531468386</v>
      </c>
      <c r="V29" s="6">
        <v>0.29681297206651203</v>
      </c>
    </row>
    <row r="30" spans="1:22" ht="15.75" customHeight="1" x14ac:dyDescent="0.3">
      <c r="A30" s="19" t="s">
        <v>56</v>
      </c>
      <c r="B30" s="19" t="s">
        <v>34</v>
      </c>
      <c r="C30" s="95">
        <v>-6.1175615657758302E-2</v>
      </c>
      <c r="D30" s="130">
        <v>-4.0238424060741899E-2</v>
      </c>
      <c r="E30" s="78">
        <v>-5.8679743393891801E-2</v>
      </c>
      <c r="F30" s="131">
        <v>2.45579095108312E-2</v>
      </c>
      <c r="G30" s="132">
        <v>4.5736317054912899E-2</v>
      </c>
      <c r="H30" s="133">
        <v>3.9479069278980698E-2</v>
      </c>
      <c r="I30" s="26">
        <f t="shared" si="0"/>
        <v>-8.386747877944533E-3</v>
      </c>
      <c r="J30" s="27">
        <f t="shared" si="1"/>
        <v>-0.43482377281008716</v>
      </c>
      <c r="K30" s="20">
        <f t="shared" si="2"/>
        <v>-0.3078623465173807</v>
      </c>
      <c r="L30" s="28">
        <f t="shared" si="3"/>
        <v>-0.33712701623644598</v>
      </c>
      <c r="M30" s="29">
        <f t="shared" si="4"/>
        <v>0.36519426958298012</v>
      </c>
      <c r="N30" s="30">
        <f t="shared" si="5"/>
        <v>0.8095772587867629</v>
      </c>
      <c r="O30" s="31">
        <f t="shared" si="6"/>
        <v>0.73065889304412945</v>
      </c>
      <c r="P30" s="26">
        <f t="shared" si="7"/>
        <v>0.13760288097499312</v>
      </c>
      <c r="Q30" s="6">
        <v>0.33133041543561098</v>
      </c>
      <c r="R30" s="6">
        <v>0.37871142854928302</v>
      </c>
      <c r="S30" s="6">
        <v>0.36759608629817703</v>
      </c>
      <c r="T30" s="6">
        <v>0.35703861783534502</v>
      </c>
      <c r="U30" s="6">
        <v>0.208333096487686</v>
      </c>
      <c r="V30" s="6">
        <v>0.23176616933743999</v>
      </c>
    </row>
    <row r="31" spans="1:22" ht="15.75" customHeight="1" x14ac:dyDescent="0.3">
      <c r="A31" s="19" t="s">
        <v>57</v>
      </c>
      <c r="B31" s="19" t="s">
        <v>34</v>
      </c>
      <c r="C31" s="134">
        <v>-4.7829595204684099E-2</v>
      </c>
      <c r="D31" s="132">
        <v>-3.7947623979650999E-2</v>
      </c>
      <c r="E31" s="135">
        <v>-4.3074371926190201E-2</v>
      </c>
      <c r="F31" s="136">
        <v>4.67018251378261E-2</v>
      </c>
      <c r="G31" s="29">
        <v>5.7648391145259298E-2</v>
      </c>
      <c r="H31" s="137">
        <v>4.0712334726596001E-2</v>
      </c>
      <c r="I31" s="26">
        <f t="shared" si="0"/>
        <v>2.70182664985935E-3</v>
      </c>
      <c r="J31" s="27">
        <f t="shared" si="1"/>
        <v>-0.25855248270018955</v>
      </c>
      <c r="K31" s="20">
        <f t="shared" si="2"/>
        <v>-0.27896328938780884</v>
      </c>
      <c r="L31" s="28">
        <f t="shared" si="3"/>
        <v>-0.12426893912728904</v>
      </c>
      <c r="M31" s="29">
        <f t="shared" si="4"/>
        <v>0.63960954895620137</v>
      </c>
      <c r="N31" s="30">
        <f t="shared" si="5"/>
        <v>0.96076344407548386</v>
      </c>
      <c r="O31" s="31">
        <f t="shared" si="6"/>
        <v>0.74631284427479772</v>
      </c>
      <c r="P31" s="26">
        <f t="shared" si="7"/>
        <v>0.2808168543485326</v>
      </c>
      <c r="Q31" s="6">
        <v>0.397664838805738</v>
      </c>
      <c r="R31" s="6">
        <v>0.38978729892709402</v>
      </c>
      <c r="S31" s="6">
        <v>0.450390668337948</v>
      </c>
      <c r="T31" s="6">
        <v>0.26053517267707799</v>
      </c>
      <c r="U31" s="6">
        <v>0.16754851320991099</v>
      </c>
      <c r="V31" s="6">
        <v>0.227004612813101</v>
      </c>
    </row>
    <row r="32" spans="1:22" ht="15.75" customHeight="1" x14ac:dyDescent="0.3">
      <c r="A32" s="19" t="s">
        <v>58</v>
      </c>
      <c r="B32" s="19" t="s">
        <v>34</v>
      </c>
      <c r="C32" s="138">
        <v>-6.2827980094805599E-2</v>
      </c>
      <c r="D32" s="136">
        <v>-2.88989636593425E-2</v>
      </c>
      <c r="E32" s="139">
        <v>-7.7562242869810893E-2</v>
      </c>
      <c r="F32" s="42">
        <v>5.78988898192727E-2</v>
      </c>
      <c r="G32" s="120">
        <v>6.7317282452358698E-2</v>
      </c>
      <c r="H32" s="140">
        <v>4.3548845256111302E-2</v>
      </c>
      <c r="I32" s="26">
        <f t="shared" si="0"/>
        <v>-8.7361516036045986E-5</v>
      </c>
      <c r="J32" s="27">
        <f t="shared" si="1"/>
        <v>-0.45664783729988434</v>
      </c>
      <c r="K32" s="20">
        <f t="shared" si="2"/>
        <v>-0.16481201372600685</v>
      </c>
      <c r="L32" s="28">
        <f t="shared" si="3"/>
        <v>-0.59468528953852795</v>
      </c>
      <c r="M32" s="29">
        <f t="shared" si="4"/>
        <v>0.77836755745283048</v>
      </c>
      <c r="N32" s="30">
        <f t="shared" si="5"/>
        <v>1.0834795035630826</v>
      </c>
      <c r="O32" s="31">
        <f t="shared" si="6"/>
        <v>0.78231693210533582</v>
      </c>
      <c r="P32" s="26">
        <f t="shared" si="7"/>
        <v>0.23800314209280496</v>
      </c>
      <c r="Q32" s="6">
        <v>0.32342675042565699</v>
      </c>
      <c r="R32" s="6">
        <v>0.43433435619537603</v>
      </c>
      <c r="S32" s="6">
        <v>0.27537870768919198</v>
      </c>
      <c r="T32" s="6">
        <v>0.217428568109685</v>
      </c>
      <c r="U32" s="6">
        <v>0.13851519648319799</v>
      </c>
      <c r="V32" s="6">
        <v>0.21626508426948801</v>
      </c>
    </row>
    <row r="33" spans="1:22" ht="15.75" customHeight="1" x14ac:dyDescent="0.3">
      <c r="A33" s="19" t="s">
        <v>59</v>
      </c>
      <c r="B33" s="19" t="s">
        <v>34</v>
      </c>
      <c r="C33" s="141">
        <v>-1.9180137965417999E-2</v>
      </c>
      <c r="D33" s="133">
        <v>-3.4797773868151097E-2</v>
      </c>
      <c r="E33" s="142">
        <v>-5.3373917094873199E-2</v>
      </c>
      <c r="F33" s="143">
        <v>2.27563706123638E-2</v>
      </c>
      <c r="G33" s="136">
        <v>7.4665639845754306E-2</v>
      </c>
      <c r="H33" s="144">
        <v>4.5152090338011298E-2</v>
      </c>
      <c r="I33" s="26">
        <f t="shared" si="0"/>
        <v>5.8703786446145179E-3</v>
      </c>
      <c r="J33" s="27">
        <f t="shared" si="1"/>
        <v>0.11984322006905941</v>
      </c>
      <c r="K33" s="20">
        <f t="shared" si="2"/>
        <v>-0.23922708583464855</v>
      </c>
      <c r="L33" s="28">
        <f t="shared" si="3"/>
        <v>-0.2647552700193318</v>
      </c>
      <c r="M33" s="29">
        <f t="shared" si="4"/>
        <v>0.34286895871871781</v>
      </c>
      <c r="N33" s="30">
        <f t="shared" si="5"/>
        <v>1.1767437087736585</v>
      </c>
      <c r="O33" s="31">
        <f t="shared" si="6"/>
        <v>0.80266706870520588</v>
      </c>
      <c r="P33" s="26">
        <f t="shared" si="7"/>
        <v>0.3230234334021102</v>
      </c>
      <c r="Q33" s="6">
        <v>0.45214880271522001</v>
      </c>
      <c r="R33" s="6">
        <v>0.405162182254521</v>
      </c>
      <c r="S33" s="6">
        <v>0.39526629704366001</v>
      </c>
      <c r="T33" s="6">
        <v>0.365427797983854</v>
      </c>
      <c r="U33" s="6">
        <v>0.11888420749122</v>
      </c>
      <c r="V33" s="6">
        <v>0.21032736067049901</v>
      </c>
    </row>
    <row r="34" spans="1:22" ht="15.75" customHeight="1" x14ac:dyDescent="0.3">
      <c r="A34" s="19" t="s">
        <v>60</v>
      </c>
      <c r="B34" s="19" t="s">
        <v>34</v>
      </c>
      <c r="C34" s="145">
        <v>-0.166863387150436</v>
      </c>
      <c r="D34" s="146">
        <v>-7.3455025236558294E-2</v>
      </c>
      <c r="E34" s="108">
        <v>-3.7612491912494501E-2</v>
      </c>
      <c r="F34" s="147">
        <v>-4.4626188465034002E-2</v>
      </c>
      <c r="G34" s="148">
        <v>-2.4034402617116299E-2</v>
      </c>
      <c r="H34" s="25">
        <v>4.62003659684843E-2</v>
      </c>
      <c r="I34" s="26">
        <f t="shared" si="0"/>
        <v>-5.0065188235525804E-2</v>
      </c>
      <c r="J34" s="27">
        <f t="shared" si="1"/>
        <v>-1.8307245130613194</v>
      </c>
      <c r="K34" s="20">
        <f t="shared" si="2"/>
        <v>-0.72689867489615234</v>
      </c>
      <c r="L34" s="28">
        <f t="shared" si="3"/>
        <v>-4.9768612139082201E-2</v>
      </c>
      <c r="M34" s="29">
        <f t="shared" si="4"/>
        <v>-0.4921596823570813</v>
      </c>
      <c r="N34" s="30">
        <f t="shared" si="5"/>
        <v>-7.5941826475749472E-2</v>
      </c>
      <c r="O34" s="31">
        <f t="shared" si="6"/>
        <v>0.81597292725127368</v>
      </c>
      <c r="P34" s="26">
        <f t="shared" si="7"/>
        <v>-0.39325339694635186</v>
      </c>
      <c r="Q34" s="41">
        <v>3.3127280132338802E-2</v>
      </c>
      <c r="R34" s="6">
        <v>0.23291817049340499</v>
      </c>
      <c r="S34" s="6">
        <v>0.48008869091455803</v>
      </c>
      <c r="T34" s="6">
        <v>0.31073592590124799</v>
      </c>
      <c r="U34" s="6">
        <v>0.46963412904165303</v>
      </c>
      <c r="V34" s="6">
        <v>0.20649729955881599</v>
      </c>
    </row>
    <row r="35" spans="1:22" ht="15.75" customHeight="1" x14ac:dyDescent="0.3">
      <c r="A35" s="19" t="s">
        <v>61</v>
      </c>
      <c r="B35" s="19" t="s">
        <v>34</v>
      </c>
      <c r="C35" s="75">
        <v>-7.8843204638494604E-2</v>
      </c>
      <c r="D35" s="138">
        <v>-6.7630666030384795E-4</v>
      </c>
      <c r="E35" s="149">
        <v>-6.3673462263556399E-2</v>
      </c>
      <c r="F35" s="126">
        <v>4.6639271703851501E-2</v>
      </c>
      <c r="G35" s="84">
        <v>5.95048182762224E-2</v>
      </c>
      <c r="H35" s="102">
        <v>5.4154928105603198E-2</v>
      </c>
      <c r="I35" s="26">
        <f t="shared" si="0"/>
        <v>2.8510074205537069E-3</v>
      </c>
      <c r="J35" s="27">
        <f t="shared" si="1"/>
        <v>-0.66817338543176108</v>
      </c>
      <c r="K35" s="20">
        <f t="shared" si="2"/>
        <v>0.19122437011030333</v>
      </c>
      <c r="L35" s="28">
        <f t="shared" si="3"/>
        <v>-0.40524160091137734</v>
      </c>
      <c r="M35" s="29">
        <f t="shared" si="4"/>
        <v>0.6388343645511918</v>
      </c>
      <c r="N35" s="30">
        <f t="shared" si="5"/>
        <v>0.9843249274971031</v>
      </c>
      <c r="O35" s="31">
        <f t="shared" si="6"/>
        <v>0.91694091268908606</v>
      </c>
      <c r="P35" s="26">
        <f t="shared" si="7"/>
        <v>0.27631826475075766</v>
      </c>
      <c r="Q35" s="6">
        <v>0.25131626600427598</v>
      </c>
      <c r="R35" s="6">
        <v>0.42393053015256099</v>
      </c>
      <c r="S35" s="6">
        <v>0.34216420825461602</v>
      </c>
      <c r="T35" s="6">
        <v>0.26078776632705702</v>
      </c>
      <c r="U35" s="6">
        <v>0.16168986482360001</v>
      </c>
      <c r="V35" s="6">
        <v>0.17880399836954</v>
      </c>
    </row>
    <row r="36" spans="1:22" ht="15.75" customHeight="1" x14ac:dyDescent="0.3">
      <c r="A36" s="19" t="s">
        <v>62</v>
      </c>
      <c r="B36" s="19" t="s">
        <v>34</v>
      </c>
      <c r="C36" s="141">
        <v>-7.8461889768406803E-2</v>
      </c>
      <c r="D36" s="150">
        <v>-4.3731894184405297E-2</v>
      </c>
      <c r="E36" s="151">
        <v>-5.3529970809550298E-2</v>
      </c>
      <c r="F36" s="152">
        <v>4.4387348080767303E-2</v>
      </c>
      <c r="G36" s="64">
        <v>6.8322847148297103E-2</v>
      </c>
      <c r="H36" s="144">
        <v>5.6498132456072402E-2</v>
      </c>
      <c r="I36" s="26">
        <f t="shared" si="0"/>
        <v>-1.085904512870933E-3</v>
      </c>
      <c r="J36" s="27">
        <f t="shared" si="1"/>
        <v>-0.66313706285719298</v>
      </c>
      <c r="K36" s="20">
        <f t="shared" si="2"/>
        <v>-0.35193340863997502</v>
      </c>
      <c r="L36" s="28">
        <f t="shared" si="3"/>
        <v>-0.26688385079042454</v>
      </c>
      <c r="M36" s="29">
        <f t="shared" si="4"/>
        <v>0.61092772597086453</v>
      </c>
      <c r="N36" s="30">
        <f t="shared" si="5"/>
        <v>1.0962419737497937</v>
      </c>
      <c r="O36" s="31">
        <f t="shared" si="6"/>
        <v>0.94668342002735739</v>
      </c>
      <c r="P36" s="26">
        <f t="shared" si="7"/>
        <v>0.22864979957673714</v>
      </c>
      <c r="Q36" s="6">
        <v>0.252929108129887</v>
      </c>
      <c r="R36" s="6">
        <v>0.36201361662281401</v>
      </c>
      <c r="S36" s="6">
        <v>0.39444410957898801</v>
      </c>
      <c r="T36" s="6">
        <v>0.26996429835571001</v>
      </c>
      <c r="U36" s="6">
        <v>0.135705576918039</v>
      </c>
      <c r="V36" s="6">
        <v>0.171114028055666</v>
      </c>
    </row>
    <row r="37" spans="1:22" ht="15.75" customHeight="1" x14ac:dyDescent="0.3">
      <c r="A37" s="19" t="s">
        <v>63</v>
      </c>
      <c r="B37" s="81" t="s">
        <v>34</v>
      </c>
      <c r="C37" s="153">
        <v>0.109589893663243</v>
      </c>
      <c r="D37" s="57">
        <v>3.05759334459773E-2</v>
      </c>
      <c r="E37" s="110">
        <v>7.6852907803097295E-2</v>
      </c>
      <c r="F37" s="55">
        <v>8.8550072466807905E-2</v>
      </c>
      <c r="G37" s="33">
        <v>9.88378681135028E-2</v>
      </c>
      <c r="H37" s="154">
        <v>7.6908675614106206E-2</v>
      </c>
      <c r="I37" s="26">
        <f t="shared" si="0"/>
        <v>8.0219225184455747E-2</v>
      </c>
      <c r="J37" s="27">
        <f t="shared" si="1"/>
        <v>1.820609353500835</v>
      </c>
      <c r="K37" s="20">
        <f t="shared" si="2"/>
        <v>0.58547975700046961</v>
      </c>
      <c r="L37" s="28">
        <f t="shared" si="3"/>
        <v>1.5115453834565915</v>
      </c>
      <c r="M37" s="29">
        <f t="shared" si="4"/>
        <v>1.158207915907288</v>
      </c>
      <c r="N37" s="30">
        <f t="shared" si="5"/>
        <v>1.4835338574926555</v>
      </c>
      <c r="O37" s="31">
        <f t="shared" si="6"/>
        <v>1.2057563128949231</v>
      </c>
      <c r="P37" s="26">
        <f t="shared" si="7"/>
        <v>1.2941887633754605</v>
      </c>
      <c r="Q37" s="41">
        <v>3.3883776104061798E-2</v>
      </c>
      <c r="R37" s="6">
        <v>0.27847091313539402</v>
      </c>
      <c r="S37" s="6">
        <v>6.4699387217696802E-2</v>
      </c>
      <c r="T37" s="6">
        <v>0.122620424649549</v>
      </c>
      <c r="U37" s="6">
        <v>6.8326130029346704E-2</v>
      </c>
      <c r="V37" s="6">
        <v>0.11319888138371099</v>
      </c>
    </row>
    <row r="38" spans="1:22" ht="15.75" customHeight="1" x14ac:dyDescent="0.3">
      <c r="A38" s="19" t="s">
        <v>64</v>
      </c>
      <c r="B38" s="19" t="s">
        <v>34</v>
      </c>
      <c r="C38" s="155">
        <v>8.9570862983632399E-2</v>
      </c>
      <c r="D38" s="45">
        <v>2.6366588296972901E-2</v>
      </c>
      <c r="E38" s="50">
        <v>4.6071312583055697E-2</v>
      </c>
      <c r="F38" s="27">
        <v>9.9152879525496104E-2</v>
      </c>
      <c r="G38" s="131">
        <v>0.10313085585385499</v>
      </c>
      <c r="H38" s="115">
        <v>7.8018614516960003E-2</v>
      </c>
      <c r="I38" s="26">
        <f t="shared" si="0"/>
        <v>7.3718518959995358E-2</v>
      </c>
      <c r="J38" s="27">
        <f t="shared" si="1"/>
        <v>1.5562024183359975</v>
      </c>
      <c r="K38" s="20">
        <f t="shared" si="2"/>
        <v>0.53237773952488288</v>
      </c>
      <c r="L38" s="28">
        <f t="shared" si="3"/>
        <v>1.091682826358777</v>
      </c>
      <c r="M38" s="29">
        <f t="shared" si="4"/>
        <v>1.28960167255633</v>
      </c>
      <c r="N38" s="30">
        <f t="shared" si="5"/>
        <v>1.5380197879051503</v>
      </c>
      <c r="O38" s="31">
        <f t="shared" si="6"/>
        <v>1.2198448690025248</v>
      </c>
      <c r="P38" s="26">
        <f t="shared" si="7"/>
        <v>1.2046215522806103</v>
      </c>
      <c r="Q38" s="6">
        <v>5.92288779855712E-2</v>
      </c>
      <c r="R38" s="6">
        <v>0.29663108912006497</v>
      </c>
      <c r="S38" s="6">
        <v>0.136704744054817</v>
      </c>
      <c r="T38" s="6">
        <v>9.7865668203558701E-2</v>
      </c>
      <c r="U38" s="6">
        <v>6.1410801124454698E-2</v>
      </c>
      <c r="V38" s="6">
        <v>0.110509163801673</v>
      </c>
    </row>
    <row r="39" spans="1:22" ht="15.75" customHeight="1" x14ac:dyDescent="0.3">
      <c r="A39" s="19" t="s">
        <v>65</v>
      </c>
      <c r="B39" s="19" t="s">
        <v>34</v>
      </c>
      <c r="C39" s="31">
        <v>-6.7022443665771703E-2</v>
      </c>
      <c r="D39" s="143">
        <v>-3.1647923756651299E-2</v>
      </c>
      <c r="E39" s="156">
        <v>-7.4441168576270506E-2</v>
      </c>
      <c r="F39" s="115">
        <v>3.67558291358707E-2</v>
      </c>
      <c r="G39" s="122">
        <v>9.4699582634064305E-2</v>
      </c>
      <c r="H39" s="157">
        <v>7.82036043341022E-2</v>
      </c>
      <c r="I39" s="26">
        <f t="shared" si="0"/>
        <v>6.0912466842239499E-3</v>
      </c>
      <c r="J39" s="27">
        <f t="shared" si="1"/>
        <v>-0.51204738562013685</v>
      </c>
      <c r="K39" s="20">
        <f t="shared" si="2"/>
        <v>-0.19949088228148956</v>
      </c>
      <c r="L39" s="28">
        <f t="shared" si="3"/>
        <v>-0.55211367411669565</v>
      </c>
      <c r="M39" s="29">
        <f t="shared" si="4"/>
        <v>0.5163552285597538</v>
      </c>
      <c r="N39" s="30">
        <f t="shared" si="5"/>
        <v>1.431011384031964</v>
      </c>
      <c r="O39" s="31">
        <f t="shared" si="6"/>
        <v>1.2221929616871239</v>
      </c>
      <c r="P39" s="26">
        <f t="shared" si="7"/>
        <v>0.31765127204341992</v>
      </c>
      <c r="Q39" s="6">
        <v>0.30372457648366302</v>
      </c>
      <c r="R39" s="6">
        <v>0.42068486046242098</v>
      </c>
      <c r="S39" s="6">
        <v>0.28981849970911899</v>
      </c>
      <c r="T39" s="6">
        <v>0.30221521004944601</v>
      </c>
      <c r="U39" s="6">
        <v>7.5546670217064293E-2</v>
      </c>
      <c r="V39" s="6">
        <v>0.110065369220257</v>
      </c>
    </row>
    <row r="40" spans="1:22" ht="15.75" customHeight="1" x14ac:dyDescent="0.3">
      <c r="A40" s="19" t="s">
        <v>66</v>
      </c>
      <c r="B40" s="19" t="s">
        <v>34</v>
      </c>
      <c r="C40" s="158">
        <v>0.119885395155615</v>
      </c>
      <c r="D40" s="159">
        <v>-2.4115877217300401E-3</v>
      </c>
      <c r="E40" s="160">
        <v>5.2157407455459298E-2</v>
      </c>
      <c r="F40" s="24">
        <v>9.7933087562992099E-2</v>
      </c>
      <c r="G40" s="25">
        <v>9.3964746894724699E-2</v>
      </c>
      <c r="H40" s="161">
        <v>7.9313543236955997E-2</v>
      </c>
      <c r="I40" s="26">
        <f t="shared" si="0"/>
        <v>7.3473765430669497E-2</v>
      </c>
      <c r="J40" s="27">
        <f t="shared" si="1"/>
        <v>1.9565900630141906</v>
      </c>
      <c r="K40" s="20">
        <f t="shared" si="2"/>
        <v>0.16933333433465469</v>
      </c>
      <c r="L40" s="28">
        <f t="shared" si="3"/>
        <v>1.1746974764313478</v>
      </c>
      <c r="M40" s="29">
        <f t="shared" si="4"/>
        <v>1.2744855766586518</v>
      </c>
      <c r="N40" s="30">
        <f t="shared" si="5"/>
        <v>1.4216849635109059</v>
      </c>
      <c r="O40" s="31">
        <f t="shared" si="6"/>
        <v>1.2362815177947255</v>
      </c>
      <c r="P40" s="26">
        <f t="shared" si="7"/>
        <v>1.205512155290746</v>
      </c>
      <c r="Q40" s="41">
        <v>2.4824613040550201E-2</v>
      </c>
      <c r="R40" s="6">
        <v>0.43254997044919902</v>
      </c>
      <c r="S40" s="6">
        <v>0.119292668940069</v>
      </c>
      <c r="T40" s="6">
        <v>0.10051126301346899</v>
      </c>
      <c r="U40" s="6">
        <v>7.6887502824466797E-2</v>
      </c>
      <c r="V40" s="6">
        <v>0.10742943963302599</v>
      </c>
    </row>
    <row r="41" spans="1:22" ht="15.75" customHeight="1" x14ac:dyDescent="0.3">
      <c r="A41" s="19" t="s">
        <v>67</v>
      </c>
      <c r="B41" s="19" t="s">
        <v>34</v>
      </c>
      <c r="C41" s="162">
        <v>0.15058124219768601</v>
      </c>
      <c r="D41" s="163">
        <v>-3.2478338786046702E-2</v>
      </c>
      <c r="E41" s="154">
        <v>1.2480750498827801E-2</v>
      </c>
      <c r="F41" s="164">
        <v>6.4811044273461696E-2</v>
      </c>
      <c r="G41" s="111">
        <v>5.4979777144500003E-2</v>
      </c>
      <c r="H41" s="165">
        <v>8.2088390494090502E-2</v>
      </c>
      <c r="I41" s="26">
        <f t="shared" si="0"/>
        <v>5.5410477637086557E-2</v>
      </c>
      <c r="J41" s="27">
        <f t="shared" si="1"/>
        <v>2.3620140302669599</v>
      </c>
      <c r="K41" s="20">
        <f t="shared" si="2"/>
        <v>-0.20996679049095879</v>
      </c>
      <c r="L41" s="28">
        <f t="shared" si="3"/>
        <v>0.63350581538131379</v>
      </c>
      <c r="M41" s="29">
        <f t="shared" si="4"/>
        <v>0.86402543420633482</v>
      </c>
      <c r="N41" s="30">
        <f t="shared" si="5"/>
        <v>0.92689381165690832</v>
      </c>
      <c r="O41" s="31">
        <f t="shared" si="6"/>
        <v>1.2715029080637299</v>
      </c>
      <c r="P41" s="26">
        <f t="shared" si="7"/>
        <v>0.97466253484738141</v>
      </c>
      <c r="Q41" s="41">
        <v>8.9007693854672408E-3</v>
      </c>
      <c r="R41" s="6">
        <v>0.41657947909478799</v>
      </c>
      <c r="S41" s="6">
        <v>0.26252747613238703</v>
      </c>
      <c r="T41" s="6">
        <v>0.19301362232477501</v>
      </c>
      <c r="U41" s="6">
        <v>0.17620678600192299</v>
      </c>
      <c r="V41" s="6">
        <v>0.10103939158151901</v>
      </c>
    </row>
    <row r="42" spans="1:22" ht="15.75" customHeight="1" x14ac:dyDescent="0.3">
      <c r="A42" s="19" t="s">
        <v>68</v>
      </c>
      <c r="B42" s="19" t="s">
        <v>34</v>
      </c>
      <c r="C42" s="86">
        <v>1.9408926887470701E-2</v>
      </c>
      <c r="D42" s="24">
        <v>3.8908718740945002E-2</v>
      </c>
      <c r="E42" s="83">
        <v>3.9985217710651902E-2</v>
      </c>
      <c r="F42" s="166">
        <v>7.9073227219661799E-2</v>
      </c>
      <c r="G42" s="167">
        <v>5.0222682621407E-2</v>
      </c>
      <c r="H42" s="84">
        <v>8.6343156288363504E-2</v>
      </c>
      <c r="I42" s="26">
        <f t="shared" si="0"/>
        <v>5.2323654911416641E-2</v>
      </c>
      <c r="J42" s="27">
        <f t="shared" si="1"/>
        <v>0.62951906461539031</v>
      </c>
      <c r="K42" s="20">
        <f t="shared" si="2"/>
        <v>0.69060007730928163</v>
      </c>
      <c r="L42" s="28">
        <f t="shared" si="3"/>
        <v>1.0086681762862033</v>
      </c>
      <c r="M42" s="29">
        <f t="shared" si="4"/>
        <v>1.0407674785484096</v>
      </c>
      <c r="N42" s="30">
        <f t="shared" si="5"/>
        <v>0.86651751038900848</v>
      </c>
      <c r="O42" s="31">
        <f t="shared" si="6"/>
        <v>1.3255090398095377</v>
      </c>
      <c r="P42" s="26">
        <f t="shared" si="7"/>
        <v>0.92693022449297191</v>
      </c>
      <c r="Q42" s="6">
        <v>0.26383297819373802</v>
      </c>
      <c r="R42" s="6">
        <v>0.24420082072649399</v>
      </c>
      <c r="S42" s="6">
        <v>0.15577880262807101</v>
      </c>
      <c r="T42" s="6">
        <v>0.14820495871545999</v>
      </c>
      <c r="U42" s="6">
        <v>0.19232932252983001</v>
      </c>
      <c r="V42" s="6">
        <v>9.1786532629757694E-2</v>
      </c>
    </row>
    <row r="43" spans="1:22" ht="15.75" customHeight="1" x14ac:dyDescent="0.3">
      <c r="A43" s="19" t="s">
        <v>69</v>
      </c>
      <c r="B43" s="19" t="s">
        <v>34</v>
      </c>
      <c r="C43" s="168">
        <v>9.4337298859730398E-2</v>
      </c>
      <c r="D43" s="24">
        <v>1.51130328986144E-2</v>
      </c>
      <c r="E43" s="27">
        <v>4.8529158589218697E-2</v>
      </c>
      <c r="F43" s="45">
        <v>5.48650482715064E-2</v>
      </c>
      <c r="G43" s="34">
        <v>8.0389623499557195E-2</v>
      </c>
      <c r="H43" s="169">
        <v>8.7638085008359595E-2</v>
      </c>
      <c r="I43" s="26">
        <f t="shared" si="0"/>
        <v>6.3478707854497773E-2</v>
      </c>
      <c r="J43" s="27">
        <f t="shared" si="1"/>
        <v>1.6191564505181049</v>
      </c>
      <c r="K43" s="20">
        <f t="shared" si="2"/>
        <v>0.39041112137586775</v>
      </c>
      <c r="L43" s="28">
        <f t="shared" si="3"/>
        <v>1.1252079735034692</v>
      </c>
      <c r="M43" s="29">
        <f t="shared" si="4"/>
        <v>0.74077111380988858</v>
      </c>
      <c r="N43" s="30">
        <f t="shared" si="5"/>
        <v>1.2493916159903178</v>
      </c>
      <c r="O43" s="31">
        <f t="shared" si="6"/>
        <v>1.3419456886017398</v>
      </c>
      <c r="P43" s="26">
        <f t="shared" si="7"/>
        <v>1.0778139939665647</v>
      </c>
      <c r="Q43" s="6">
        <v>5.2141053987910101E-2</v>
      </c>
      <c r="R43" s="6">
        <v>0.347645525406867</v>
      </c>
      <c r="S43" s="6">
        <v>0.12947441189032299</v>
      </c>
      <c r="T43" s="6">
        <v>0.22868393624701799</v>
      </c>
      <c r="U43" s="6">
        <v>0.10501772882202599</v>
      </c>
      <c r="V43" s="6">
        <v>8.90990262140295E-2</v>
      </c>
    </row>
    <row r="44" spans="1:22" ht="15.75" customHeight="1" x14ac:dyDescent="0.3">
      <c r="A44" s="19" t="s">
        <v>70</v>
      </c>
      <c r="B44" s="19" t="s">
        <v>34</v>
      </c>
      <c r="C44" s="170">
        <v>0.10158228139139901</v>
      </c>
      <c r="D44" s="26">
        <v>-2.0623448366401901E-2</v>
      </c>
      <c r="E44" s="171">
        <v>1.83327647992159E-2</v>
      </c>
      <c r="F44" s="26">
        <v>8.2920263409097306E-2</v>
      </c>
      <c r="G44" s="172">
        <v>5.0454736012777397E-2</v>
      </c>
      <c r="H44" s="65">
        <v>9.7257555499759202E-2</v>
      </c>
      <c r="I44" s="26">
        <f t="shared" si="0"/>
        <v>5.4987358790974487E-2</v>
      </c>
      <c r="J44" s="27">
        <f t="shared" si="1"/>
        <v>1.7148465794349033</v>
      </c>
      <c r="K44" s="20">
        <f t="shared" si="2"/>
        <v>-6.0414169845431874E-2</v>
      </c>
      <c r="L44" s="28">
        <f t="shared" si="3"/>
        <v>0.71332759429724768</v>
      </c>
      <c r="M44" s="29">
        <f t="shared" si="4"/>
        <v>1.0884413194564686</v>
      </c>
      <c r="N44" s="30">
        <f t="shared" si="5"/>
        <v>0.8694626958167111</v>
      </c>
      <c r="O44" s="31">
        <f t="shared" si="6"/>
        <v>1.4640465082009548</v>
      </c>
      <c r="P44" s="26">
        <f t="shared" si="7"/>
        <v>0.96495175456014237</v>
      </c>
      <c r="Q44" s="41">
        <v>4.2676107057974401E-2</v>
      </c>
      <c r="R44" s="6">
        <v>0.47583439486252899</v>
      </c>
      <c r="S44" s="6">
        <v>0.23710222227824801</v>
      </c>
      <c r="T44" s="6">
        <v>0.13741819358886601</v>
      </c>
      <c r="U44" s="6">
        <v>0.191522518941458</v>
      </c>
      <c r="V44" s="6">
        <v>7.0940377342796596E-2</v>
      </c>
    </row>
    <row r="45" spans="1:22" ht="15.75" customHeight="1" x14ac:dyDescent="0.3">
      <c r="A45" s="19" t="s">
        <v>71</v>
      </c>
      <c r="B45" s="19" t="s">
        <v>34</v>
      </c>
      <c r="C45" s="173">
        <v>0.153059788853256</v>
      </c>
      <c r="D45" s="25">
        <v>3.7362428686208697E-2</v>
      </c>
      <c r="E45" s="87">
        <v>6.4329597200266694E-2</v>
      </c>
      <c r="F45" s="174">
        <v>0.12261041726595601</v>
      </c>
      <c r="G45" s="126">
        <v>0.13387793021043101</v>
      </c>
      <c r="H45" s="175">
        <v>0.100217392574036</v>
      </c>
      <c r="I45" s="26">
        <f t="shared" si="0"/>
        <v>0.10190959246502573</v>
      </c>
      <c r="J45" s="27">
        <f t="shared" si="1"/>
        <v>2.3947501270016427</v>
      </c>
      <c r="K45" s="20">
        <f t="shared" si="2"/>
        <v>0.67109321374682129</v>
      </c>
      <c r="L45" s="28">
        <f t="shared" si="3"/>
        <v>1.3407267765764921</v>
      </c>
      <c r="M45" s="29">
        <f t="shared" si="4"/>
        <v>1.5802958244347325</v>
      </c>
      <c r="N45" s="30">
        <f t="shared" si="5"/>
        <v>1.9282568570757137</v>
      </c>
      <c r="O45" s="31">
        <f t="shared" si="6"/>
        <v>1.5016159911545595</v>
      </c>
      <c r="P45" s="26">
        <f t="shared" si="7"/>
        <v>1.5694564649983269</v>
      </c>
      <c r="Q45" s="41">
        <v>8.1403069210087397E-3</v>
      </c>
      <c r="R45" s="6">
        <v>0.25038371024760703</v>
      </c>
      <c r="S45" s="6">
        <v>8.9296293913732006E-2</v>
      </c>
      <c r="T45" s="6">
        <v>5.6431862367198098E-2</v>
      </c>
      <c r="U45" s="41">
        <v>2.6522887852502602E-2</v>
      </c>
      <c r="V45" s="6">
        <v>6.5967478844260102E-2</v>
      </c>
    </row>
    <row r="46" spans="1:22" ht="15.75" customHeight="1" x14ac:dyDescent="0.3">
      <c r="A46" s="19" t="s">
        <v>72</v>
      </c>
      <c r="B46" s="19" t="s">
        <v>34</v>
      </c>
      <c r="C46" s="133">
        <v>4.1715846787609201E-2</v>
      </c>
      <c r="D46" s="176">
        <v>4.9732749124099002E-2</v>
      </c>
      <c r="E46" s="96">
        <v>5.4381172889606803E-2</v>
      </c>
      <c r="F46" s="31">
        <v>4.4731391967627397E-2</v>
      </c>
      <c r="G46" s="177">
        <v>5.8576604710740901E-2</v>
      </c>
      <c r="H46" s="52">
        <v>0.105767087088305</v>
      </c>
      <c r="I46" s="26">
        <f t="shared" si="0"/>
        <v>5.9150808761331386E-2</v>
      </c>
      <c r="J46" s="27">
        <f t="shared" si="1"/>
        <v>0.92414393522765037</v>
      </c>
      <c r="K46" s="20">
        <f t="shared" si="2"/>
        <v>0.82714812224650269</v>
      </c>
      <c r="L46" s="28">
        <f t="shared" si="3"/>
        <v>1.2050297524194029</v>
      </c>
      <c r="M46" s="29">
        <f t="shared" si="4"/>
        <v>0.61519124019841476</v>
      </c>
      <c r="N46" s="30">
        <f t="shared" si="5"/>
        <v>0.97254418578629409</v>
      </c>
      <c r="O46" s="31">
        <f t="shared" si="6"/>
        <v>1.5720587716925682</v>
      </c>
      <c r="P46" s="26">
        <f t="shared" si="7"/>
        <v>1.0193526679284721</v>
      </c>
      <c r="Q46" s="6">
        <v>0.17692196876869701</v>
      </c>
      <c r="R46" s="6">
        <v>0.20331269822110501</v>
      </c>
      <c r="S46" s="6">
        <v>0.113338848299947</v>
      </c>
      <c r="T46" s="6">
        <v>0.26855193719895398</v>
      </c>
      <c r="U46" s="6">
        <v>0.164602298659317</v>
      </c>
      <c r="V46" s="6">
        <v>5.7376153743925497E-2</v>
      </c>
    </row>
    <row r="47" spans="1:22" ht="15.75" customHeight="1" x14ac:dyDescent="0.3">
      <c r="A47" s="19" t="s">
        <v>73</v>
      </c>
      <c r="B47" s="19" t="s">
        <v>34</v>
      </c>
      <c r="C47" s="125">
        <v>5.90656733766056E-2</v>
      </c>
      <c r="D47" s="178">
        <v>2.4906203245277599E-2</v>
      </c>
      <c r="E47" s="179">
        <v>3.7527371704488999E-2</v>
      </c>
      <c r="F47" s="35">
        <v>3.7975621098374698E-2</v>
      </c>
      <c r="G47" s="168">
        <v>7.43562353239271E-2</v>
      </c>
      <c r="H47" s="84">
        <v>0.129260793865377</v>
      </c>
      <c r="I47" s="26">
        <f t="shared" si="0"/>
        <v>6.0515316435675169E-2</v>
      </c>
      <c r="J47" s="27">
        <f t="shared" si="1"/>
        <v>1.1532966123705166</v>
      </c>
      <c r="K47" s="20">
        <f t="shared" si="2"/>
        <v>0.51395459060478255</v>
      </c>
      <c r="L47" s="28">
        <f t="shared" si="3"/>
        <v>0.97514302914151241</v>
      </c>
      <c r="M47" s="29">
        <f t="shared" si="4"/>
        <v>0.53147132445743162</v>
      </c>
      <c r="N47" s="30">
        <f t="shared" si="5"/>
        <v>1.1728167948700552</v>
      </c>
      <c r="O47" s="31">
        <f t="shared" si="6"/>
        <v>1.8702665426368039</v>
      </c>
      <c r="P47" s="26">
        <f t="shared" si="7"/>
        <v>1.036158149013517</v>
      </c>
      <c r="Q47" s="6">
        <v>0.123624042840366</v>
      </c>
      <c r="R47" s="6">
        <v>0.30305592180865898</v>
      </c>
      <c r="S47" s="6">
        <v>0.163956908122281</v>
      </c>
      <c r="T47" s="6">
        <v>0.29694572612502301</v>
      </c>
      <c r="U47" s="6">
        <v>0.119668956325377</v>
      </c>
      <c r="V47" s="41">
        <v>3.0302343613235801E-2</v>
      </c>
    </row>
    <row r="48" spans="1:22" ht="15.75" customHeight="1" x14ac:dyDescent="0.3">
      <c r="A48" s="19" t="s">
        <v>74</v>
      </c>
      <c r="B48" s="19" t="s">
        <v>34</v>
      </c>
      <c r="C48" s="165">
        <v>3.8855985261950401E-2</v>
      </c>
      <c r="D48" s="86">
        <v>4.9131414102812597E-2</v>
      </c>
      <c r="E48" s="158">
        <v>6.5500000060344205E-2</v>
      </c>
      <c r="F48" s="180">
        <v>6.7813609104240696E-2</v>
      </c>
      <c r="G48" s="181">
        <v>9.0948052806909693E-2</v>
      </c>
      <c r="H48" s="100">
        <v>0.129260793865377</v>
      </c>
      <c r="I48" s="26">
        <f t="shared" si="0"/>
        <v>7.3584975866939087E-2</v>
      </c>
      <c r="J48" s="27">
        <f t="shared" si="1"/>
        <v>0.88637151591838603</v>
      </c>
      <c r="K48" s="20">
        <f t="shared" si="2"/>
        <v>0.81956211974998938</v>
      </c>
      <c r="L48" s="28">
        <f t="shared" si="3"/>
        <v>1.3566911323596775</v>
      </c>
      <c r="M48" s="29">
        <f t="shared" si="4"/>
        <v>0.90123428564677199</v>
      </c>
      <c r="N48" s="30">
        <f t="shared" si="5"/>
        <v>1.3833975529507749</v>
      </c>
      <c r="O48" s="31">
        <f t="shared" si="6"/>
        <v>1.8702665426368039</v>
      </c>
      <c r="P48" s="26">
        <f t="shared" si="7"/>
        <v>1.2029205248770674</v>
      </c>
      <c r="Q48" s="6">
        <v>0.186930758318681</v>
      </c>
      <c r="R48" s="6">
        <v>0.20547127818477401</v>
      </c>
      <c r="S48" s="6">
        <v>8.6738273345948094E-2</v>
      </c>
      <c r="T48" s="6">
        <v>0.18295138695100299</v>
      </c>
      <c r="U48" s="6">
        <v>8.2582059166909402E-2</v>
      </c>
      <c r="V48" s="41">
        <v>3.0302343613235801E-2</v>
      </c>
    </row>
    <row r="49" spans="1:22" ht="15.75" customHeight="1" x14ac:dyDescent="0.3">
      <c r="A49" s="19" t="s">
        <v>75</v>
      </c>
      <c r="B49" s="19" t="s">
        <v>76</v>
      </c>
      <c r="C49" s="33">
        <v>-2.52621101433191E-2</v>
      </c>
      <c r="D49" s="88">
        <v>1.7266905611221701E-2</v>
      </c>
      <c r="E49" s="25">
        <v>6.8468567314541803E-3</v>
      </c>
      <c r="F49" s="150">
        <v>1.0790467360611899E-2</v>
      </c>
      <c r="G49" s="105">
        <v>-1.06164426551951E-2</v>
      </c>
      <c r="H49" s="113">
        <v>-1.1839348297107199E-2</v>
      </c>
      <c r="I49" s="26">
        <f t="shared" si="0"/>
        <v>-2.1356118987222697E-3</v>
      </c>
      <c r="J49" s="27">
        <f t="shared" si="1"/>
        <v>3.9513875004689857E-2</v>
      </c>
      <c r="K49" s="20">
        <f t="shared" si="2"/>
        <v>0.41758280304519219</v>
      </c>
      <c r="L49" s="28">
        <f t="shared" si="3"/>
        <v>0.55665921186133771</v>
      </c>
      <c r="M49" s="29">
        <f t="shared" si="4"/>
        <v>0.19458322917143414</v>
      </c>
      <c r="N49" s="30">
        <f t="shared" si="5"/>
        <v>9.4356827277894767E-2</v>
      </c>
      <c r="O49" s="31">
        <f t="shared" si="6"/>
        <v>7.9269520606498445E-2</v>
      </c>
      <c r="P49" s="26">
        <f t="shared" si="7"/>
        <v>0.23032757782784119</v>
      </c>
      <c r="Q49" s="6">
        <v>0.48418895437905901</v>
      </c>
      <c r="R49" s="6">
        <v>0.33762808017548601</v>
      </c>
      <c r="S49" s="6">
        <v>0.28825990016832198</v>
      </c>
      <c r="T49" s="6">
        <v>0.42261111026926101</v>
      </c>
      <c r="U49" s="6">
        <v>0.46229058632942399</v>
      </c>
      <c r="V49" s="6">
        <v>0.46830627125826102</v>
      </c>
    </row>
    <row r="50" spans="1:22" ht="15.75" customHeight="1" x14ac:dyDescent="0.3">
      <c r="A50" s="19" t="s">
        <v>77</v>
      </c>
      <c r="B50" s="19" t="s">
        <v>78</v>
      </c>
      <c r="C50" s="182">
        <v>-0.11325051641608699</v>
      </c>
      <c r="D50" s="140">
        <v>-3.8055916347120702E-2</v>
      </c>
      <c r="E50" s="183">
        <v>3.8272173524538301E-2</v>
      </c>
      <c r="F50" s="23">
        <v>-0.17067704459959099</v>
      </c>
      <c r="G50" s="40">
        <v>-0.189587620749605</v>
      </c>
      <c r="H50" s="184">
        <v>-4.6802423737001997E-2</v>
      </c>
      <c r="I50" s="26">
        <f t="shared" si="0"/>
        <v>-8.6683558054144558E-2</v>
      </c>
      <c r="J50" s="27">
        <f t="shared" si="1"/>
        <v>-1.1226175590769942</v>
      </c>
      <c r="K50" s="20">
        <f t="shared" si="2"/>
        <v>-0.28032942663393345</v>
      </c>
      <c r="L50" s="28">
        <f t="shared" si="3"/>
        <v>0.98530216463990283</v>
      </c>
      <c r="M50" s="29">
        <f t="shared" si="4"/>
        <v>-2.0542267297599501</v>
      </c>
      <c r="N50" s="30">
        <f t="shared" si="5"/>
        <v>-2.1771174338375601</v>
      </c>
      <c r="O50" s="31">
        <f t="shared" si="6"/>
        <v>-0.36451999678295749</v>
      </c>
      <c r="P50" s="26">
        <f t="shared" si="7"/>
        <v>-0.83558483024191521</v>
      </c>
      <c r="Q50" s="6">
        <v>0.13002345339754101</v>
      </c>
      <c r="R50" s="6">
        <v>0.38926161263175002</v>
      </c>
      <c r="S50" s="6">
        <v>0.161449790195723</v>
      </c>
      <c r="T50" s="41">
        <v>1.96549091974597E-2</v>
      </c>
      <c r="U50" s="41">
        <v>1.44730206204952E-2</v>
      </c>
      <c r="V50" s="6">
        <v>0.35729100345856801</v>
      </c>
    </row>
    <row r="51" spans="1:22" ht="15.75" customHeight="1" x14ac:dyDescent="0.3">
      <c r="A51" s="19" t="s">
        <v>79</v>
      </c>
      <c r="B51" s="19" t="s">
        <v>78</v>
      </c>
      <c r="C51" s="111">
        <v>-0.10753079336476901</v>
      </c>
      <c r="D51" s="78">
        <v>-4.2952501520441899E-4</v>
      </c>
      <c r="E51" s="33">
        <v>6.7532245026479004E-2</v>
      </c>
      <c r="F51" s="165">
        <v>-6.5305785069442401E-2</v>
      </c>
      <c r="G51" s="39">
        <v>-0.11927544316437801</v>
      </c>
      <c r="H51" s="185">
        <v>2.5343604948495101E-2</v>
      </c>
      <c r="I51" s="26">
        <f t="shared" si="0"/>
        <v>-3.3277616106469954E-2</v>
      </c>
      <c r="J51" s="27">
        <f t="shared" si="1"/>
        <v>-1.0470727204584604</v>
      </c>
      <c r="K51" s="20">
        <f t="shared" si="2"/>
        <v>0.19433758671926288</v>
      </c>
      <c r="L51" s="28">
        <f t="shared" si="3"/>
        <v>1.3844110592195749</v>
      </c>
      <c r="M51" s="29">
        <f t="shared" si="4"/>
        <v>-0.74842859952213303</v>
      </c>
      <c r="N51" s="30">
        <f t="shared" si="5"/>
        <v>-1.2847262492437392</v>
      </c>
      <c r="O51" s="31">
        <f t="shared" si="6"/>
        <v>0.55123615021115668</v>
      </c>
      <c r="P51" s="26">
        <f t="shared" si="7"/>
        <v>-0.1583737955123897</v>
      </c>
      <c r="Q51" s="6">
        <v>0.14674668349537601</v>
      </c>
      <c r="R51" s="6">
        <v>0.42270757378233598</v>
      </c>
      <c r="S51" s="6">
        <v>8.2427336287852898E-2</v>
      </c>
      <c r="T51" s="6">
        <v>0.22636530952147799</v>
      </c>
      <c r="U51" s="6">
        <v>9.8713321585785593E-2</v>
      </c>
      <c r="V51" s="6">
        <v>0.29011984470861302</v>
      </c>
    </row>
    <row r="52" spans="1:22" ht="15.75" customHeight="1" x14ac:dyDescent="0.3">
      <c r="A52" s="19" t="s">
        <v>80</v>
      </c>
      <c r="B52" s="19" t="s">
        <v>81</v>
      </c>
      <c r="C52" s="186">
        <v>-0.37978961060748301</v>
      </c>
      <c r="D52" s="186">
        <v>-0.41354668463891497</v>
      </c>
      <c r="E52" s="186">
        <v>-0.33543745969824701</v>
      </c>
      <c r="F52" s="186">
        <v>-0.21684147887281799</v>
      </c>
      <c r="G52" s="186">
        <v>-0.37186555967104301</v>
      </c>
      <c r="H52" s="186">
        <v>-0.163161018719508</v>
      </c>
      <c r="I52" s="26">
        <f t="shared" si="0"/>
        <v>-0.31344030203466899</v>
      </c>
      <c r="J52" s="27">
        <f t="shared" si="1"/>
        <v>-4.6430070387003761</v>
      </c>
      <c r="K52" s="20">
        <f t="shared" si="2"/>
        <v>-5.0172461283846612</v>
      </c>
      <c r="L52" s="28">
        <f t="shared" si="3"/>
        <v>-4.11211663693165</v>
      </c>
      <c r="M52" s="29">
        <f t="shared" si="4"/>
        <v>-2.6263128206566702</v>
      </c>
      <c r="N52" s="30">
        <f t="shared" si="5"/>
        <v>-4.4905605872977743</v>
      </c>
      <c r="O52" s="31">
        <f t="shared" si="6"/>
        <v>-1.8414702953965305</v>
      </c>
      <c r="P52" s="26">
        <f t="shared" si="7"/>
        <v>-3.7884522512279433</v>
      </c>
      <c r="Q52" s="41">
        <v>1.5952754910096599E-6</v>
      </c>
      <c r="R52" s="41">
        <v>2.4065710556692002E-7</v>
      </c>
      <c r="S52" s="41">
        <v>1.8493853725647001E-5</v>
      </c>
      <c r="T52" s="41">
        <v>4.2083322719223002E-3</v>
      </c>
      <c r="U52" s="41">
        <v>3.3153399417979298E-6</v>
      </c>
      <c r="V52" s="41">
        <v>3.23389200007662E-2</v>
      </c>
    </row>
    <row r="53" spans="1:22" ht="15.75" customHeight="1" x14ac:dyDescent="0.3">
      <c r="A53" s="19" t="s">
        <v>82</v>
      </c>
      <c r="B53" s="19" t="s">
        <v>81</v>
      </c>
      <c r="C53" s="185">
        <v>-7.9504150413313601E-2</v>
      </c>
      <c r="D53" s="187">
        <v>-8.8052628116927198E-2</v>
      </c>
      <c r="E53" s="188">
        <v>-0.12499902545629001</v>
      </c>
      <c r="F53" s="147">
        <v>-0.13239434300715899</v>
      </c>
      <c r="G53" s="189">
        <v>-0.106860586726062</v>
      </c>
      <c r="H53" s="63">
        <v>-8.6390244605454206E-2</v>
      </c>
      <c r="I53" s="26">
        <f t="shared" si="0"/>
        <v>-0.10303349638753434</v>
      </c>
      <c r="J53" s="27">
        <f t="shared" si="1"/>
        <v>-0.67690301122768093</v>
      </c>
      <c r="K53" s="20">
        <f t="shared" si="2"/>
        <v>-0.91105134848680991</v>
      </c>
      <c r="L53" s="28">
        <f t="shared" si="3"/>
        <v>-1.2417254671146558</v>
      </c>
      <c r="M53" s="29">
        <f t="shared" si="4"/>
        <v>-1.5798138738943797</v>
      </c>
      <c r="N53" s="30">
        <f t="shared" si="5"/>
        <v>-1.1271588288616574</v>
      </c>
      <c r="O53" s="31">
        <f t="shared" si="6"/>
        <v>-0.86701183128741954</v>
      </c>
      <c r="P53" s="26">
        <f t="shared" si="7"/>
        <v>-1.0672773934787674</v>
      </c>
      <c r="Q53" s="6">
        <v>0.24853360510624101</v>
      </c>
      <c r="R53" s="6">
        <v>0.180352172240721</v>
      </c>
      <c r="S53" s="6">
        <v>0.106423177437382</v>
      </c>
      <c r="T53" s="6">
        <v>5.6486773434473198E-2</v>
      </c>
      <c r="U53" s="6">
        <v>0.129061987542374</v>
      </c>
      <c r="V53" s="6">
        <v>0.19219376338489599</v>
      </c>
    </row>
    <row r="54" spans="1:22" ht="15.75" customHeight="1" x14ac:dyDescent="0.3">
      <c r="A54" s="19" t="s">
        <v>83</v>
      </c>
      <c r="B54" s="19" t="s">
        <v>81</v>
      </c>
      <c r="C54" s="56">
        <v>4.4041867495144903E-2</v>
      </c>
      <c r="D54" s="184">
        <v>-9.3722358317626903E-2</v>
      </c>
      <c r="E54" s="190">
        <v>-0.10439993511892399</v>
      </c>
      <c r="F54" s="63">
        <v>-8.9701624319521403E-2</v>
      </c>
      <c r="G54" s="191">
        <v>-3.4808008705558202E-3</v>
      </c>
      <c r="H54" s="75">
        <v>-5.9196741485535997E-2</v>
      </c>
      <c r="I54" s="26">
        <f t="shared" si="0"/>
        <v>-5.1076598769503212E-2</v>
      </c>
      <c r="J54" s="27">
        <f t="shared" si="1"/>
        <v>0.95486550293251715</v>
      </c>
      <c r="K54" s="20">
        <f t="shared" si="2"/>
        <v>-0.98257651488249675</v>
      </c>
      <c r="L54" s="28">
        <f t="shared" si="3"/>
        <v>-0.96075280533057017</v>
      </c>
      <c r="M54" s="29">
        <f t="shared" si="4"/>
        <v>-1.0507505174756804</v>
      </c>
      <c r="N54" s="30">
        <f t="shared" si="5"/>
        <v>0.18492127917974172</v>
      </c>
      <c r="O54" s="31">
        <f t="shared" si="6"/>
        <v>-0.52184220665117564</v>
      </c>
      <c r="P54" s="26">
        <f t="shared" si="7"/>
        <v>-0.39602254370461071</v>
      </c>
      <c r="Q54" s="6">
        <v>0.169036195913324</v>
      </c>
      <c r="R54" s="6">
        <v>0.16211997182476301</v>
      </c>
      <c r="S54" s="6">
        <v>0.16755118908567301</v>
      </c>
      <c r="T54" s="6">
        <v>0.145900543508068</v>
      </c>
      <c r="U54" s="6">
        <v>0.42640878854152497</v>
      </c>
      <c r="V54" s="6">
        <v>0.30029759315662602</v>
      </c>
    </row>
    <row r="55" spans="1:22" ht="15.75" customHeight="1" x14ac:dyDescent="0.3">
      <c r="A55" s="19" t="s">
        <v>84</v>
      </c>
      <c r="B55" s="19" t="s">
        <v>81</v>
      </c>
      <c r="C55" s="22">
        <v>-2.6310726036060501E-2</v>
      </c>
      <c r="D55" s="27">
        <v>-7.8345362773305005E-2</v>
      </c>
      <c r="E55" s="63">
        <v>3.1834957794111399E-2</v>
      </c>
      <c r="F55" s="192">
        <v>-8.7262040394513504E-2</v>
      </c>
      <c r="G55" s="30">
        <v>-0.101523358724543</v>
      </c>
      <c r="H55" s="116">
        <v>-3.8107902331313802E-2</v>
      </c>
      <c r="I55" s="26">
        <f t="shared" si="0"/>
        <v>-4.99524054109374E-2</v>
      </c>
      <c r="J55" s="27">
        <f t="shared" si="1"/>
        <v>2.5663987924628363E-2</v>
      </c>
      <c r="K55" s="20">
        <f t="shared" si="2"/>
        <v>-0.78859159390025513</v>
      </c>
      <c r="L55" s="28">
        <f t="shared" si="3"/>
        <v>0.89749820783237566</v>
      </c>
      <c r="M55" s="29">
        <f t="shared" si="4"/>
        <v>-1.0205183256803256</v>
      </c>
      <c r="N55" s="30">
        <f t="shared" si="5"/>
        <v>-1.0594195640245012</v>
      </c>
      <c r="O55" s="31">
        <f t="shared" si="6"/>
        <v>-0.25415964060674268</v>
      </c>
      <c r="P55" s="26">
        <f t="shared" si="7"/>
        <v>-0.36658782140913676</v>
      </c>
      <c r="Q55" s="6">
        <v>0.48972928047336001</v>
      </c>
      <c r="R55" s="6">
        <v>0.21442400413389301</v>
      </c>
      <c r="S55" s="6">
        <v>0.18394667995565001</v>
      </c>
      <c r="T55" s="6">
        <v>0.15295355586189599</v>
      </c>
      <c r="U55" s="6">
        <v>0.14391907576226101</v>
      </c>
      <c r="V55" s="6">
        <v>0.39936584590938401</v>
      </c>
    </row>
    <row r="56" spans="1:22" ht="15.75" customHeight="1" x14ac:dyDescent="0.3">
      <c r="A56" s="19" t="s">
        <v>85</v>
      </c>
      <c r="B56" s="19" t="s">
        <v>81</v>
      </c>
      <c r="C56" s="193">
        <v>-9.6853977002309993E-2</v>
      </c>
      <c r="D56" s="194">
        <v>-3.1441231112971001E-2</v>
      </c>
      <c r="E56" s="195">
        <v>-5.31362898475242E-2</v>
      </c>
      <c r="F56" s="44">
        <v>-0.105840410284958</v>
      </c>
      <c r="G56" s="196">
        <v>-0.119739549947119</v>
      </c>
      <c r="H56" s="197">
        <v>-3.3853136537040897E-2</v>
      </c>
      <c r="I56" s="26">
        <f t="shared" si="0"/>
        <v>-7.3477432455320513E-2</v>
      </c>
      <c r="J56" s="27">
        <f t="shared" si="1"/>
        <v>-0.90605568837054695</v>
      </c>
      <c r="K56" s="20">
        <f t="shared" si="2"/>
        <v>-0.19688339917229802</v>
      </c>
      <c r="L56" s="28">
        <f t="shared" si="3"/>
        <v>-0.26151402202698909</v>
      </c>
      <c r="M56" s="29">
        <f t="shared" si="4"/>
        <v>-1.2507480939680236</v>
      </c>
      <c r="N56" s="30">
        <f t="shared" si="5"/>
        <v>-1.2906166200991467</v>
      </c>
      <c r="O56" s="31">
        <f t="shared" si="6"/>
        <v>-0.20015350886093597</v>
      </c>
      <c r="P56" s="26">
        <f t="shared" si="7"/>
        <v>-0.68432855541632343</v>
      </c>
      <c r="Q56" s="6">
        <v>0.18167194006232101</v>
      </c>
      <c r="R56" s="6">
        <v>0.42170806205956501</v>
      </c>
      <c r="S56" s="6">
        <v>0.396519159177391</v>
      </c>
      <c r="T56" s="6">
        <v>0.104770448735484</v>
      </c>
      <c r="U56" s="6">
        <v>9.7689879788553896E-2</v>
      </c>
      <c r="V56" s="6">
        <v>0.42042492446134699</v>
      </c>
    </row>
    <row r="57" spans="1:22" ht="15.75" customHeight="1" x14ac:dyDescent="0.3">
      <c r="A57" s="19" t="s">
        <v>86</v>
      </c>
      <c r="B57" s="19" t="s">
        <v>81</v>
      </c>
      <c r="C57" s="198">
        <v>2.4785466555709301E-2</v>
      </c>
      <c r="D57" s="87">
        <v>2.25930157997579E-2</v>
      </c>
      <c r="E57" s="29">
        <v>3.1366796650080297E-2</v>
      </c>
      <c r="F57" s="199">
        <v>6.3804502654053403E-3</v>
      </c>
      <c r="G57" s="125">
        <v>2.2045072180186601E-2</v>
      </c>
      <c r="H57" s="166">
        <v>2.1458818788506799E-2</v>
      </c>
      <c r="I57" s="26">
        <f t="shared" si="0"/>
        <v>2.1438270039941042E-2</v>
      </c>
      <c r="J57" s="27">
        <f t="shared" si="1"/>
        <v>0.70053121291680798</v>
      </c>
      <c r="K57" s="20">
        <f t="shared" si="2"/>
        <v>0.48477311087144498</v>
      </c>
      <c r="L57" s="28">
        <f t="shared" si="3"/>
        <v>0.89111246551910017</v>
      </c>
      <c r="M57" s="29">
        <f t="shared" si="4"/>
        <v>0.13993272861829326</v>
      </c>
      <c r="N57" s="30">
        <f t="shared" si="5"/>
        <v>0.50889167622700271</v>
      </c>
      <c r="O57" s="31">
        <f t="shared" si="6"/>
        <v>0.50192620383455055</v>
      </c>
      <c r="P57" s="26">
        <f t="shared" si="7"/>
        <v>0.53786123299786659</v>
      </c>
      <c r="Q57" s="6">
        <v>0.241084962429088</v>
      </c>
      <c r="R57" s="6">
        <v>0.313357831311387</v>
      </c>
      <c r="S57" s="6">
        <v>0.185655634030269</v>
      </c>
      <c r="T57" s="6">
        <v>0.44417621351548098</v>
      </c>
      <c r="U57" s="6">
        <v>0.30483239267288798</v>
      </c>
      <c r="V57" s="6">
        <v>0.30728396322458101</v>
      </c>
    </row>
    <row r="58" spans="1:22" ht="15.75" customHeight="1" x14ac:dyDescent="0.3">
      <c r="A58" s="19" t="s">
        <v>87</v>
      </c>
      <c r="B58" s="19" t="s">
        <v>88</v>
      </c>
      <c r="C58" s="200">
        <v>3.9847403924178702E-2</v>
      </c>
      <c r="D58" s="201">
        <v>-1.1081745392276699E-2</v>
      </c>
      <c r="E58" s="186">
        <v>-9.8079759674504996E-2</v>
      </c>
      <c r="F58" s="32">
        <v>-4.9542319707852799E-2</v>
      </c>
      <c r="G58" s="202">
        <v>-0.124496644470211</v>
      </c>
      <c r="H58" s="117">
        <v>-0.15631639548524301</v>
      </c>
      <c r="I58" s="26">
        <f t="shared" si="0"/>
        <v>-6.6611576800984965E-2</v>
      </c>
      <c r="J58" s="27">
        <f t="shared" si="1"/>
        <v>0.89946595461226331</v>
      </c>
      <c r="K58" s="20">
        <f t="shared" si="2"/>
        <v>5.995697106675868E-2</v>
      </c>
      <c r="L58" s="28">
        <f t="shared" si="3"/>
        <v>-0.87454528410136356</v>
      </c>
      <c r="M58" s="29">
        <f t="shared" si="4"/>
        <v>-0.5530821294598397</v>
      </c>
      <c r="N58" s="30">
        <f t="shared" si="5"/>
        <v>-1.350992921367034</v>
      </c>
      <c r="O58" s="31">
        <f t="shared" si="6"/>
        <v>-1.7545908660663212</v>
      </c>
      <c r="P58" s="26">
        <f t="shared" si="7"/>
        <v>-0.59563137921925613</v>
      </c>
      <c r="Q58" s="6">
        <v>0.18342205165405301</v>
      </c>
      <c r="R58" s="6">
        <v>0.47601705259187299</v>
      </c>
      <c r="S58" s="6">
        <v>0.19013508109156901</v>
      </c>
      <c r="T58" s="6">
        <v>0.28948609906226003</v>
      </c>
      <c r="U58" s="6">
        <v>8.7644956952126304E-2</v>
      </c>
      <c r="V58" s="41">
        <v>3.9177165089993901E-2</v>
      </c>
    </row>
    <row r="59" spans="1:22" ht="15.75" customHeight="1" x14ac:dyDescent="0.3">
      <c r="A59" s="19" t="s">
        <v>89</v>
      </c>
      <c r="B59" s="19" t="s">
        <v>88</v>
      </c>
      <c r="C59" s="157">
        <v>0.13803598297179601</v>
      </c>
      <c r="D59" s="61">
        <v>-2.06172007298171E-3</v>
      </c>
      <c r="E59" s="37">
        <v>-3.9793697242638997E-3</v>
      </c>
      <c r="F59" s="129">
        <v>7.4970290618512195E-2</v>
      </c>
      <c r="G59" s="85">
        <v>-3.1559261226372398E-2</v>
      </c>
      <c r="H59" s="203">
        <v>-4.71724033712866E-2</v>
      </c>
      <c r="I59" s="26">
        <f t="shared" si="0"/>
        <v>2.1372253199233925E-2</v>
      </c>
      <c r="J59" s="27">
        <f t="shared" si="1"/>
        <v>2.1963190175636527</v>
      </c>
      <c r="K59" s="20">
        <f t="shared" si="2"/>
        <v>0.17374700851444261</v>
      </c>
      <c r="L59" s="28">
        <f t="shared" si="3"/>
        <v>0.40898892086685878</v>
      </c>
      <c r="M59" s="29">
        <f t="shared" si="4"/>
        <v>0.98992242871076808</v>
      </c>
      <c r="N59" s="30">
        <f t="shared" si="5"/>
        <v>-0.1714461575722443</v>
      </c>
      <c r="O59" s="31">
        <f t="shared" si="6"/>
        <v>-0.36921618215215812</v>
      </c>
      <c r="P59" s="26">
        <f t="shared" si="7"/>
        <v>0.53805250598855336</v>
      </c>
      <c r="Q59" s="41">
        <v>1.3780297129781899E-2</v>
      </c>
      <c r="R59" s="6">
        <v>0.430809394043983</v>
      </c>
      <c r="S59" s="6">
        <v>0.340784397767597</v>
      </c>
      <c r="T59" s="6">
        <v>0.16031789417803999</v>
      </c>
      <c r="U59" s="6">
        <v>0.43171659207129798</v>
      </c>
      <c r="V59" s="6">
        <v>0.35553448689602501</v>
      </c>
    </row>
    <row r="60" spans="1:22" ht="15.75" customHeight="1" x14ac:dyDescent="0.3">
      <c r="A60" s="19" t="s">
        <v>90</v>
      </c>
      <c r="B60" s="19" t="s">
        <v>91</v>
      </c>
      <c r="C60" s="60">
        <v>-4.8274462553119901E-2</v>
      </c>
      <c r="D60" s="104">
        <v>-0.106270736398183</v>
      </c>
      <c r="E60" s="204">
        <v>-5.5636695957690101E-2</v>
      </c>
      <c r="F60" s="75">
        <v>-2.7236333820105801E-2</v>
      </c>
      <c r="G60" s="205">
        <v>-7.9843243241694201E-2</v>
      </c>
      <c r="H60" s="206">
        <v>-8.3662485665410402E-2</v>
      </c>
      <c r="I60" s="26">
        <f t="shared" si="0"/>
        <v>-6.6820659606033908E-2</v>
      </c>
      <c r="J60" s="27">
        <f t="shared" si="1"/>
        <v>-0.2644281923705194</v>
      </c>
      <c r="K60" s="20">
        <f t="shared" si="2"/>
        <v>-1.1408776682772392</v>
      </c>
      <c r="L60" s="28">
        <f t="shared" si="3"/>
        <v>-0.2956196912001619</v>
      </c>
      <c r="M60" s="29">
        <f t="shared" si="4"/>
        <v>-0.27665841776455158</v>
      </c>
      <c r="N60" s="30">
        <f t="shared" si="5"/>
        <v>-0.78425892183817214</v>
      </c>
      <c r="O60" s="31">
        <f t="shared" si="6"/>
        <v>-0.83238813733813077</v>
      </c>
      <c r="P60" s="26">
        <f t="shared" si="7"/>
        <v>-0.59903850479812926</v>
      </c>
      <c r="Q60" s="6">
        <v>0.39539267577780102</v>
      </c>
      <c r="R60" s="6">
        <v>0.12618745559767</v>
      </c>
      <c r="S60" s="6">
        <v>0.38339198932275798</v>
      </c>
      <c r="T60" s="6">
        <v>0.390674664645842</v>
      </c>
      <c r="U60" s="6">
        <v>0.21569429956542499</v>
      </c>
      <c r="V60" s="6">
        <v>0.20182959715872301</v>
      </c>
    </row>
    <row r="61" spans="1:22" ht="15.75" customHeight="1" x14ac:dyDescent="0.3">
      <c r="A61" s="19" t="s">
        <v>92</v>
      </c>
      <c r="B61" s="19" t="s">
        <v>91</v>
      </c>
      <c r="C61" s="174">
        <v>-6.9437437842994706E-2</v>
      </c>
      <c r="D61" s="207">
        <v>-0.10266272627046499</v>
      </c>
      <c r="E61" s="175">
        <v>-5.9616065681953899E-2</v>
      </c>
      <c r="F61" s="208">
        <v>-4.4688741899008497E-2</v>
      </c>
      <c r="G61" s="172">
        <v>-9.9799834899547302E-2</v>
      </c>
      <c r="H61" s="208">
        <v>-8.0332668956848999E-2</v>
      </c>
      <c r="I61" s="26">
        <f t="shared" si="0"/>
        <v>-7.6089579258469722E-2</v>
      </c>
      <c r="J61" s="27">
        <f t="shared" si="1"/>
        <v>-0.5439440952590715</v>
      </c>
      <c r="K61" s="20">
        <f t="shared" si="2"/>
        <v>-1.0953616532981651</v>
      </c>
      <c r="L61" s="28">
        <f t="shared" si="3"/>
        <v>-0.3498985008629954</v>
      </c>
      <c r="M61" s="29">
        <f t="shared" si="4"/>
        <v>-0.49293486676208964</v>
      </c>
      <c r="N61" s="30">
        <f t="shared" si="5"/>
        <v>-1.0375448686205755</v>
      </c>
      <c r="O61" s="31">
        <f t="shared" si="6"/>
        <v>-0.79012246901532557</v>
      </c>
      <c r="P61" s="26">
        <f t="shared" si="7"/>
        <v>-0.71830107563637047</v>
      </c>
      <c r="Q61" s="6">
        <v>0.29262962509453</v>
      </c>
      <c r="R61" s="6">
        <v>0.13589811421292999</v>
      </c>
      <c r="S61" s="6">
        <v>0.36277913330321898</v>
      </c>
      <c r="T61" s="6">
        <v>0.31046132315264802</v>
      </c>
      <c r="U61" s="6">
        <v>0.148954014911202</v>
      </c>
      <c r="V61" s="6">
        <v>0.213976209327217</v>
      </c>
    </row>
    <row r="62" spans="1:22" ht="15.75" customHeight="1" x14ac:dyDescent="0.3">
      <c r="A62" s="19" t="s">
        <v>93</v>
      </c>
      <c r="B62" s="19" t="s">
        <v>91</v>
      </c>
      <c r="C62" s="209">
        <v>-7.4394531154136606E-2</v>
      </c>
      <c r="D62" s="29">
        <v>-0.11408809167490599</v>
      </c>
      <c r="E62" s="158">
        <v>-5.6807098817767597E-2</v>
      </c>
      <c r="F62" s="25">
        <v>-3.6150198161480802E-2</v>
      </c>
      <c r="G62" s="20">
        <v>-9.00535924619911E-2</v>
      </c>
      <c r="H62" s="21">
        <v>-7.2563096636872396E-2</v>
      </c>
      <c r="I62" s="26">
        <f t="shared" si="0"/>
        <v>-7.4009434817859085E-2</v>
      </c>
      <c r="J62" s="27">
        <f t="shared" si="1"/>
        <v>-0.60941628872846276</v>
      </c>
      <c r="K62" s="20">
        <f t="shared" si="2"/>
        <v>-1.2394957007319067</v>
      </c>
      <c r="L62" s="28">
        <f t="shared" si="3"/>
        <v>-0.31158404698334696</v>
      </c>
      <c r="M62" s="29">
        <f t="shared" si="4"/>
        <v>-0.38712219547834753</v>
      </c>
      <c r="N62" s="30">
        <f t="shared" si="5"/>
        <v>-0.91384708065707565</v>
      </c>
      <c r="O62" s="31">
        <f t="shared" si="6"/>
        <v>-0.69150257626211331</v>
      </c>
      <c r="P62" s="26">
        <f t="shared" si="7"/>
        <v>-0.69216131480687537</v>
      </c>
      <c r="Q62" s="6">
        <v>0.27046587849933301</v>
      </c>
      <c r="R62" s="6">
        <v>0.10683450254703999</v>
      </c>
      <c r="S62" s="6">
        <v>0.37729204701167202</v>
      </c>
      <c r="T62" s="6">
        <v>0.34886548261384598</v>
      </c>
      <c r="U62" s="6">
        <v>0.17961621981175299</v>
      </c>
      <c r="V62" s="6">
        <v>0.24391677088411301</v>
      </c>
    </row>
    <row r="63" spans="1:22" ht="15.75" customHeight="1" x14ac:dyDescent="0.3">
      <c r="A63" s="19" t="s">
        <v>94</v>
      </c>
      <c r="B63" s="19" t="s">
        <v>91</v>
      </c>
      <c r="C63" s="50">
        <v>-4.5795915897548903E-2</v>
      </c>
      <c r="D63" s="24">
        <v>-3.06743337221877E-2</v>
      </c>
      <c r="E63" s="104">
        <v>-7.4480182004939804E-2</v>
      </c>
      <c r="F63" s="200">
        <v>5.7116971894590703E-2</v>
      </c>
      <c r="G63" s="210">
        <v>-1.04592792219488E-2</v>
      </c>
      <c r="H63" s="52">
        <v>-3.2420306316993198E-2</v>
      </c>
      <c r="I63" s="26">
        <f t="shared" si="0"/>
        <v>-2.2785507544837953E-2</v>
      </c>
      <c r="J63" s="27">
        <f t="shared" si="1"/>
        <v>-0.23169209563582313</v>
      </c>
      <c r="K63" s="20">
        <f t="shared" si="2"/>
        <v>-0.18720878300142194</v>
      </c>
      <c r="L63" s="28">
        <f t="shared" si="3"/>
        <v>-0.55264581930946921</v>
      </c>
      <c r="M63" s="29">
        <f t="shared" si="4"/>
        <v>0.76867775239021718</v>
      </c>
      <c r="N63" s="30">
        <f t="shared" si="5"/>
        <v>9.6351521044838559E-2</v>
      </c>
      <c r="O63" s="31">
        <f t="shared" si="6"/>
        <v>-0.18196646370384925</v>
      </c>
      <c r="P63" s="26">
        <f t="shared" si="7"/>
        <v>-4.808064803591796E-2</v>
      </c>
      <c r="Q63" s="6">
        <v>0.408095025373992</v>
      </c>
      <c r="R63" s="6">
        <v>0.42550904314771498</v>
      </c>
      <c r="S63" s="6">
        <v>0.28963583060491099</v>
      </c>
      <c r="T63" s="6">
        <v>0.22029844045527699</v>
      </c>
      <c r="U63" s="6">
        <v>0.461495867374624</v>
      </c>
      <c r="V63" s="6">
        <v>0.427571574551185</v>
      </c>
    </row>
    <row r="64" spans="1:22" ht="15.75" customHeight="1" x14ac:dyDescent="0.3">
      <c r="A64" s="19" t="s">
        <v>95</v>
      </c>
      <c r="B64" s="19" t="s">
        <v>91</v>
      </c>
      <c r="C64" s="211">
        <v>-8.7359236737122994E-2</v>
      </c>
      <c r="D64" s="200">
        <v>-8.2102795542676105E-2</v>
      </c>
      <c r="E64" s="125">
        <v>-3.9063791458990797E-2</v>
      </c>
      <c r="F64" s="26">
        <v>-7.7196624200425402E-3</v>
      </c>
      <c r="G64" s="46">
        <v>4.6927524463947497E-2</v>
      </c>
      <c r="H64" s="140">
        <v>4.4543305667052203E-3</v>
      </c>
      <c r="I64" s="26">
        <f t="shared" si="0"/>
        <v>-2.7477271854696627E-2</v>
      </c>
      <c r="J64" s="27">
        <f t="shared" si="1"/>
        <v>-0.78065125626379217</v>
      </c>
      <c r="K64" s="20">
        <f t="shared" si="2"/>
        <v>-0.83599261556028193</v>
      </c>
      <c r="L64" s="28">
        <f t="shared" si="3"/>
        <v>-6.9564413310234441E-2</v>
      </c>
      <c r="M64" s="29">
        <f t="shared" si="4"/>
        <v>-3.4800883401713036E-2</v>
      </c>
      <c r="N64" s="30">
        <f t="shared" si="5"/>
        <v>0.82469587731563454</v>
      </c>
      <c r="O64" s="31">
        <f t="shared" si="6"/>
        <v>0.28608667809314114</v>
      </c>
      <c r="P64" s="26">
        <f t="shared" si="7"/>
        <v>-0.10170443552120766</v>
      </c>
      <c r="Q64" s="6">
        <v>0.21675535144084199</v>
      </c>
      <c r="R64" s="6">
        <v>0.200813179060706</v>
      </c>
      <c r="S64" s="6">
        <v>0.472179855005115</v>
      </c>
      <c r="T64" s="6">
        <v>0.48607398845073502</v>
      </c>
      <c r="U64" s="6">
        <v>0.204008994387785</v>
      </c>
      <c r="V64" s="6">
        <v>0.387048472903463</v>
      </c>
    </row>
    <row r="65" spans="1:22" ht="15.75" customHeight="1" x14ac:dyDescent="0.3">
      <c r="A65" s="19" t="s">
        <v>96</v>
      </c>
      <c r="B65" s="19" t="s">
        <v>91</v>
      </c>
      <c r="C65" s="152">
        <v>-4.8465119988163802E-2</v>
      </c>
      <c r="D65" s="35">
        <v>-9.2125045897448202E-2</v>
      </c>
      <c r="E65" s="88">
        <v>-8.2009773738105904E-2</v>
      </c>
      <c r="F65" s="55">
        <v>-3.5368280236798798E-2</v>
      </c>
      <c r="G65" s="32">
        <v>6.4068534973173399E-2</v>
      </c>
      <c r="H65" s="54">
        <v>1.1360617073351001E-2</v>
      </c>
      <c r="I65" s="26">
        <f t="shared" si="0"/>
        <v>-3.0423177968998721E-2</v>
      </c>
      <c r="J65" s="27">
        <f t="shared" si="1"/>
        <v>-0.26694635365780345</v>
      </c>
      <c r="K65" s="20">
        <f t="shared" si="2"/>
        <v>-0.96242599050215172</v>
      </c>
      <c r="L65" s="28">
        <f t="shared" si="3"/>
        <v>-0.65534984151463849</v>
      </c>
      <c r="M65" s="29">
        <f t="shared" si="4"/>
        <v>-0.37743239041573401</v>
      </c>
      <c r="N65" s="30">
        <f t="shared" si="5"/>
        <v>1.0422469075752507</v>
      </c>
      <c r="O65" s="31">
        <f t="shared" si="6"/>
        <v>0.37374880498488416</v>
      </c>
      <c r="P65" s="26">
        <f t="shared" si="7"/>
        <v>-0.14102647725503212</v>
      </c>
      <c r="Q65" s="6">
        <v>0.39441997425283798</v>
      </c>
      <c r="R65" s="6">
        <v>0.167130684936904</v>
      </c>
      <c r="S65" s="6">
        <v>0.25543358591816101</v>
      </c>
      <c r="T65" s="6">
        <v>0.35246876147009998</v>
      </c>
      <c r="U65" s="6">
        <v>0.14786192909314799</v>
      </c>
      <c r="V65" s="6">
        <v>0.35384205204951702</v>
      </c>
    </row>
    <row r="66" spans="1:22" ht="15.75" customHeight="1" x14ac:dyDescent="0.3">
      <c r="A66" s="19" t="s">
        <v>97</v>
      </c>
      <c r="B66" s="19" t="s">
        <v>91</v>
      </c>
      <c r="C66" s="23">
        <v>7.0829237118815405E-2</v>
      </c>
      <c r="D66" s="179">
        <v>-2.86063660126212E-2</v>
      </c>
      <c r="E66" s="148">
        <v>2.8382269356882501E-2</v>
      </c>
      <c r="F66" s="163">
        <v>1.2197919625039501E-2</v>
      </c>
      <c r="G66" s="176">
        <v>-7.5417352195380604E-4</v>
      </c>
      <c r="H66" s="108">
        <v>4.2732647759871303E-2</v>
      </c>
      <c r="I66" s="26">
        <f t="shared" si="0"/>
        <v>2.0796922387672282E-2</v>
      </c>
      <c r="J66" s="27">
        <f t="shared" si="1"/>
        <v>1.3086671637959564</v>
      </c>
      <c r="K66" s="20">
        <f t="shared" si="2"/>
        <v>-0.16112081597445518</v>
      </c>
      <c r="L66" s="28">
        <f t="shared" si="3"/>
        <v>0.85040335827197577</v>
      </c>
      <c r="M66" s="29">
        <f t="shared" si="4"/>
        <v>0.21202487828413838</v>
      </c>
      <c r="N66" s="30">
        <f t="shared" si="5"/>
        <v>0.21952720795524439</v>
      </c>
      <c r="O66" s="31">
        <f t="shared" si="6"/>
        <v>0.77195686256358387</v>
      </c>
      <c r="P66" s="26">
        <f t="shared" si="7"/>
        <v>0.53357644248274061</v>
      </c>
      <c r="Q66" s="6">
        <v>9.4602107703906493E-2</v>
      </c>
      <c r="R66" s="6">
        <v>0.43579211972647602</v>
      </c>
      <c r="S66" s="6">
        <v>0.19678032074211599</v>
      </c>
      <c r="T66" s="6">
        <v>0.415773992867775</v>
      </c>
      <c r="U66" s="6">
        <v>0.41284078004874702</v>
      </c>
      <c r="V66" s="6">
        <v>0.21932482886552199</v>
      </c>
    </row>
    <row r="67" spans="1:22" ht="15.75" customHeight="1" x14ac:dyDescent="0.3">
      <c r="A67" s="19" t="s">
        <v>98</v>
      </c>
      <c r="B67" s="19" t="s">
        <v>91</v>
      </c>
      <c r="C67" s="113">
        <v>-2.1010449341839599E-2</v>
      </c>
      <c r="D67" s="91">
        <v>-4.0066614054659999E-2</v>
      </c>
      <c r="E67" s="206">
        <v>-5.3139836522857802E-2</v>
      </c>
      <c r="F67" s="61">
        <v>3.8882645891005901E-2</v>
      </c>
      <c r="G67" s="64">
        <v>5.3332198065770199E-2</v>
      </c>
      <c r="H67" s="212">
        <v>5.95566307661584E-2</v>
      </c>
      <c r="I67" s="26">
        <f t="shared" si="0"/>
        <v>6.2590958005961823E-3</v>
      </c>
      <c r="J67" s="27">
        <f t="shared" si="1"/>
        <v>9.5668871711130657E-2</v>
      </c>
      <c r="K67" s="20">
        <f t="shared" si="2"/>
        <v>-0.30569491723266179</v>
      </c>
      <c r="L67" s="28">
        <f t="shared" si="3"/>
        <v>-0.26156239886269617</v>
      </c>
      <c r="M67" s="29">
        <f t="shared" si="4"/>
        <v>0.54271149833006427</v>
      </c>
      <c r="N67" s="30">
        <f t="shared" si="5"/>
        <v>0.90598299512022074</v>
      </c>
      <c r="O67" s="31">
        <f t="shared" si="6"/>
        <v>0.98550521907941513</v>
      </c>
      <c r="P67" s="26">
        <f t="shared" si="7"/>
        <v>0.32710187802424545</v>
      </c>
      <c r="Q67" s="6">
        <v>0.46176782900514601</v>
      </c>
      <c r="R67" s="6">
        <v>0.37953879821242298</v>
      </c>
      <c r="S67" s="6">
        <v>0.39650045185066302</v>
      </c>
      <c r="T67" s="6">
        <v>0.29305485502676598</v>
      </c>
      <c r="U67" s="6">
        <v>0.18169118887222599</v>
      </c>
      <c r="V67" s="6">
        <v>0.16139993566208199</v>
      </c>
    </row>
    <row r="68" spans="1:22" ht="15.75" customHeight="1" x14ac:dyDescent="0.3">
      <c r="A68" s="19" t="s">
        <v>99</v>
      </c>
      <c r="B68" s="19" t="s">
        <v>91</v>
      </c>
      <c r="C68" s="131">
        <v>-1.91038749914005E-2</v>
      </c>
      <c r="D68" s="192">
        <v>3.1520888479427099E-2</v>
      </c>
      <c r="E68" s="54">
        <v>3.8229613420535498E-2</v>
      </c>
      <c r="F68" s="131">
        <v>-1.46630935912188E-2</v>
      </c>
      <c r="G68" s="165">
        <v>2.0055741743256899E-2</v>
      </c>
      <c r="H68" s="161">
        <v>7.3578858905544706E-2</v>
      </c>
      <c r="I68" s="26">
        <f t="shared" si="0"/>
        <v>2.1603022327690818E-2</v>
      </c>
      <c r="J68" s="27">
        <f t="shared" si="1"/>
        <v>0.12085048458397221</v>
      </c>
      <c r="K68" s="20">
        <f t="shared" si="2"/>
        <v>0.59740061806641542</v>
      </c>
      <c r="L68" s="28">
        <f t="shared" si="3"/>
        <v>0.98472164261142359</v>
      </c>
      <c r="M68" s="29">
        <f t="shared" si="4"/>
        <v>-0.12084635235772176</v>
      </c>
      <c r="N68" s="30">
        <f t="shared" si="5"/>
        <v>0.4836434047877004</v>
      </c>
      <c r="O68" s="31">
        <f t="shared" si="6"/>
        <v>1.1634906445721167</v>
      </c>
      <c r="P68" s="26">
        <f t="shared" si="7"/>
        <v>0.5382100737106511</v>
      </c>
      <c r="Q68" s="6">
        <v>0.45174857915717698</v>
      </c>
      <c r="R68" s="6">
        <v>0.274469846629258</v>
      </c>
      <c r="S68" s="6">
        <v>0.161592377087838</v>
      </c>
      <c r="T68" s="6">
        <v>0.45175022094406703</v>
      </c>
      <c r="U68" s="6">
        <v>0.31375966428811303</v>
      </c>
      <c r="V68" s="6">
        <v>0.12154730214363101</v>
      </c>
    </row>
    <row r="69" spans="1:22" ht="15.75" customHeight="1" x14ac:dyDescent="0.3">
      <c r="A69" s="19" t="s">
        <v>100</v>
      </c>
      <c r="B69" s="19" t="s">
        <v>91</v>
      </c>
      <c r="C69" s="32">
        <v>-2.1582421646971401E-2</v>
      </c>
      <c r="D69" s="34">
        <v>1.7088847968555199E-2</v>
      </c>
      <c r="E69" s="53">
        <v>4.3730506862900399E-2</v>
      </c>
      <c r="F69" s="57">
        <v>3.4597735663748401E-2</v>
      </c>
      <c r="G69" s="134">
        <v>5.7532364449574103E-2</v>
      </c>
      <c r="H69" s="213">
        <v>8.8193054459786493E-2</v>
      </c>
      <c r="I69" s="26">
        <f t="shared" si="0"/>
        <v>3.6593347959598864E-2</v>
      </c>
      <c r="J69" s="27">
        <f t="shared" si="1"/>
        <v>8.811438784927722E-2</v>
      </c>
      <c r="K69" s="20">
        <f t="shared" si="2"/>
        <v>0.41533655815012221</v>
      </c>
      <c r="L69" s="28">
        <f t="shared" si="3"/>
        <v>1.0597541147924026</v>
      </c>
      <c r="M69" s="29">
        <f t="shared" si="4"/>
        <v>0.48961136658694093</v>
      </c>
      <c r="N69" s="30">
        <f t="shared" si="5"/>
        <v>0.95929085136163261</v>
      </c>
      <c r="O69" s="31">
        <f t="shared" si="6"/>
        <v>1.3489899666555405</v>
      </c>
      <c r="P69" s="26">
        <f t="shared" si="7"/>
        <v>0.7268495408993193</v>
      </c>
      <c r="Q69" s="6">
        <v>0.46477863579496798</v>
      </c>
      <c r="R69" s="6">
        <v>0.33845197894701901</v>
      </c>
      <c r="S69" s="6">
        <v>0.14384297363029799</v>
      </c>
      <c r="T69" s="6">
        <v>0.31163938854272299</v>
      </c>
      <c r="U69" s="6">
        <v>0.16791916412152899</v>
      </c>
      <c r="V69" s="6">
        <v>8.7965335550526796E-2</v>
      </c>
    </row>
    <row r="70" spans="1:22" ht="15.75" customHeight="1" x14ac:dyDescent="0.3">
      <c r="A70" s="19" t="s">
        <v>101</v>
      </c>
      <c r="B70" s="81" t="s">
        <v>91</v>
      </c>
      <c r="C70" s="65">
        <v>-1.56339096736011E-3</v>
      </c>
      <c r="D70" s="44">
        <v>7.2325764923857006E-2</v>
      </c>
      <c r="E70" s="43">
        <v>3.8463693992551E-2</v>
      </c>
      <c r="F70" s="102">
        <v>6.6030836235965701E-2</v>
      </c>
      <c r="G70" s="214">
        <v>4.0940546966591503E-2</v>
      </c>
      <c r="H70" s="62">
        <v>9.2632810071201693E-2</v>
      </c>
      <c r="I70" s="26">
        <f t="shared" si="0"/>
        <v>5.1471710203801126E-2</v>
      </c>
      <c r="J70" s="27">
        <f t="shared" si="1"/>
        <v>0.35252132301412359</v>
      </c>
      <c r="K70" s="20">
        <f t="shared" si="2"/>
        <v>1.1121650731868928</v>
      </c>
      <c r="L70" s="28">
        <f t="shared" si="3"/>
        <v>0.9879145137680605</v>
      </c>
      <c r="M70" s="29">
        <f t="shared" si="4"/>
        <v>0.87914153010401297</v>
      </c>
      <c r="N70" s="30">
        <f t="shared" si="5"/>
        <v>0.74871009328091276</v>
      </c>
      <c r="O70" s="31">
        <f t="shared" si="6"/>
        <v>1.4053441910859474</v>
      </c>
      <c r="P70" s="26">
        <f t="shared" si="7"/>
        <v>0.91429945407332491</v>
      </c>
      <c r="Q70" s="6">
        <v>0.36179255033247798</v>
      </c>
      <c r="R70" s="6">
        <v>0.13225522981667401</v>
      </c>
      <c r="S70" s="6">
        <v>0.16080916478342799</v>
      </c>
      <c r="T70" s="6">
        <v>0.18888573696525501</v>
      </c>
      <c r="U70" s="6">
        <v>0.22628032919132601</v>
      </c>
      <c r="V70" s="6">
        <v>7.9280274214425406E-2</v>
      </c>
    </row>
    <row r="71" spans="1:22" ht="15.75" customHeight="1" x14ac:dyDescent="0.3">
      <c r="A71" s="19" t="s">
        <v>102</v>
      </c>
      <c r="B71" s="19" t="s">
        <v>91</v>
      </c>
      <c r="C71" s="56">
        <v>9.1134253950992707E-3</v>
      </c>
      <c r="D71" s="55">
        <v>2.7655163342586501E-2</v>
      </c>
      <c r="E71" s="89">
        <v>7.9778914953291299E-2</v>
      </c>
      <c r="F71" s="200">
        <v>8.3295584012944804E-2</v>
      </c>
      <c r="G71" s="151">
        <v>5.3935536883333197E-2</v>
      </c>
      <c r="H71" s="62">
        <v>0.10946688343115001</v>
      </c>
      <c r="I71" s="26">
        <f t="shared" si="0"/>
        <v>6.0540918003067518E-2</v>
      </c>
      <c r="J71" s="27">
        <f t="shared" si="1"/>
        <v>0.49353835510204197</v>
      </c>
      <c r="K71" s="20">
        <f t="shared" si="2"/>
        <v>0.54863345916026662</v>
      </c>
      <c r="L71" s="28">
        <f t="shared" si="3"/>
        <v>1.5514562729145578</v>
      </c>
      <c r="M71" s="29">
        <f t="shared" si="4"/>
        <v>1.0930924258865247</v>
      </c>
      <c r="N71" s="30">
        <f t="shared" si="5"/>
        <v>0.91364047723224684</v>
      </c>
      <c r="O71" s="31">
        <f t="shared" si="6"/>
        <v>1.6190206253845614</v>
      </c>
      <c r="P71" s="26">
        <f t="shared" si="7"/>
        <v>1.0365636026133664</v>
      </c>
      <c r="Q71" s="6">
        <v>0.31024761543034501</v>
      </c>
      <c r="R71" s="6">
        <v>0.29101448107892802</v>
      </c>
      <c r="S71" s="6">
        <v>5.9792466989248901E-2</v>
      </c>
      <c r="T71" s="6">
        <v>0.136395285345246</v>
      </c>
      <c r="U71" s="6">
        <v>0.179670541717808</v>
      </c>
      <c r="V71" s="6">
        <v>5.2155586617164899E-2</v>
      </c>
    </row>
    <row r="72" spans="1:22" ht="15.75" customHeight="1" x14ac:dyDescent="0.3">
      <c r="A72" s="19" t="s">
        <v>103</v>
      </c>
      <c r="B72" s="19" t="s">
        <v>91</v>
      </c>
      <c r="C72" s="27">
        <v>7.7788233497918299E-3</v>
      </c>
      <c r="D72" s="215">
        <v>3.5214803610186099E-2</v>
      </c>
      <c r="E72" s="200">
        <v>4.7826916873172101E-2</v>
      </c>
      <c r="F72" s="99">
        <v>6.61246663869276E-2</v>
      </c>
      <c r="G72" s="44">
        <v>8.2710157413261001E-2</v>
      </c>
      <c r="H72" s="24">
        <v>0.119826313191119</v>
      </c>
      <c r="I72" s="26">
        <f t="shared" si="0"/>
        <v>5.9913613470742942E-2</v>
      </c>
      <c r="J72" s="27">
        <f t="shared" si="1"/>
        <v>0.47591122609105191</v>
      </c>
      <c r="K72" s="20">
        <f t="shared" si="2"/>
        <v>0.6440003476878492</v>
      </c>
      <c r="L72" s="28">
        <f t="shared" si="3"/>
        <v>1.1156293600335567</v>
      </c>
      <c r="M72" s="29">
        <f t="shared" si="4"/>
        <v>0.88030430671152726</v>
      </c>
      <c r="N72" s="30">
        <f t="shared" si="5"/>
        <v>1.2788434702673408</v>
      </c>
      <c r="O72" s="31">
        <f t="shared" si="6"/>
        <v>1.7505138157221802</v>
      </c>
      <c r="P72" s="26">
        <f t="shared" si="7"/>
        <v>1.0242004210855844</v>
      </c>
      <c r="Q72" s="6">
        <v>0.31651588979647999</v>
      </c>
      <c r="R72" s="6">
        <v>0.259106813196611</v>
      </c>
      <c r="S72" s="6">
        <v>0.131512640832115</v>
      </c>
      <c r="T72" s="6">
        <v>0.188570476391935</v>
      </c>
      <c r="U72" s="6">
        <v>9.9743254447279106E-2</v>
      </c>
      <c r="V72" s="41">
        <v>3.9524987515486797E-2</v>
      </c>
    </row>
    <row r="73" spans="1:22" ht="15.75" customHeight="1" x14ac:dyDescent="0.3">
      <c r="A73" s="19" t="s">
        <v>104</v>
      </c>
      <c r="B73" s="19" t="s">
        <v>91</v>
      </c>
      <c r="C73" s="200">
        <v>2.9895085814886199E-2</v>
      </c>
      <c r="D73" s="57">
        <v>7.5074725021165897E-2</v>
      </c>
      <c r="E73" s="216">
        <v>5.3093729743521403E-2</v>
      </c>
      <c r="F73" s="137">
        <v>4.1259676382039201E-2</v>
      </c>
      <c r="G73" s="153">
        <v>3.7227692704665402E-2</v>
      </c>
      <c r="H73" s="141">
        <v>0.13296059020822301</v>
      </c>
      <c r="I73" s="26">
        <f t="shared" si="0"/>
        <v>6.1585249979083524E-2</v>
      </c>
      <c r="J73" s="27">
        <f t="shared" si="1"/>
        <v>0.76801793541602492</v>
      </c>
      <c r="K73" s="20">
        <f t="shared" si="2"/>
        <v>1.1468439417423766</v>
      </c>
      <c r="L73" s="28">
        <f t="shared" si="3"/>
        <v>1.1874689610578972</v>
      </c>
      <c r="M73" s="29">
        <f t="shared" si="4"/>
        <v>0.57216850572040945</v>
      </c>
      <c r="N73" s="30">
        <f t="shared" si="5"/>
        <v>0.70158712643767551</v>
      </c>
      <c r="O73" s="31">
        <f t="shared" si="6"/>
        <v>1.9172283963288097</v>
      </c>
      <c r="P73" s="26">
        <f t="shared" si="7"/>
        <v>1.0488858111171988</v>
      </c>
      <c r="Q73" s="6">
        <v>0.22049464796144999</v>
      </c>
      <c r="R73" s="6">
        <v>0.12495136067066399</v>
      </c>
      <c r="S73" s="6">
        <v>0.116759429172822</v>
      </c>
      <c r="T73" s="6">
        <v>0.282971959700483</v>
      </c>
      <c r="U73" s="6">
        <v>0.24075494937383601</v>
      </c>
      <c r="V73" s="41">
        <v>2.7209669312107099E-2</v>
      </c>
    </row>
    <row r="74" spans="1:22" ht="15.75" customHeight="1" x14ac:dyDescent="0.3">
      <c r="A74" s="19" t="s">
        <v>105</v>
      </c>
      <c r="B74" s="19" t="s">
        <v>91</v>
      </c>
      <c r="C74" s="113">
        <v>9.5099928599906097E-2</v>
      </c>
      <c r="D74" s="200">
        <v>6.7600989756607194E-2</v>
      </c>
      <c r="E74" s="217">
        <v>5.8360542613870803E-2</v>
      </c>
      <c r="F74" s="150">
        <v>8.9113053372578993E-2</v>
      </c>
      <c r="G74" s="218">
        <v>0.111948884725929</v>
      </c>
      <c r="H74" s="219">
        <v>0.14868472466531801</v>
      </c>
      <c r="I74" s="26">
        <f t="shared" si="0"/>
        <v>9.5134687289035014E-2</v>
      </c>
      <c r="J74" s="27">
        <f t="shared" si="1"/>
        <v>1.6292290956672422</v>
      </c>
      <c r="K74" s="20">
        <f t="shared" si="2"/>
        <v>1.0525607678571529</v>
      </c>
      <c r="L74" s="28">
        <f t="shared" si="3"/>
        <v>1.2593085620822393</v>
      </c>
      <c r="M74" s="29">
        <f t="shared" si="4"/>
        <v>1.1651845755523702</v>
      </c>
      <c r="N74" s="30">
        <f t="shared" si="5"/>
        <v>1.6499368341578324</v>
      </c>
      <c r="O74" s="31">
        <f t="shared" si="6"/>
        <v>2.1168162745198282</v>
      </c>
      <c r="P74" s="26">
        <f t="shared" si="7"/>
        <v>1.4788393516394442</v>
      </c>
      <c r="Q74" s="6">
        <v>5.10722639588789E-2</v>
      </c>
      <c r="R74" s="6">
        <v>0.14548527091220401</v>
      </c>
      <c r="S74" s="6">
        <v>0.103219634577344</v>
      </c>
      <c r="T74" s="6">
        <v>0.12120460242315099</v>
      </c>
      <c r="U74" s="41">
        <v>4.8929801752317599E-2</v>
      </c>
      <c r="V74" s="41">
        <v>1.6846668695965801E-2</v>
      </c>
    </row>
    <row r="75" spans="1:22" ht="15.75" customHeight="1" x14ac:dyDescent="0.3">
      <c r="A75" s="19" t="s">
        <v>106</v>
      </c>
      <c r="B75" s="19" t="s">
        <v>107</v>
      </c>
      <c r="C75" s="220">
        <v>-5.8760621480535298E-2</v>
      </c>
      <c r="D75" s="164">
        <v>6.8099238774241104E-4</v>
      </c>
      <c r="E75" s="215">
        <v>2.58233431037127E-2</v>
      </c>
      <c r="F75" s="221">
        <v>-1.07222272508215E-2</v>
      </c>
      <c r="G75" s="171">
        <v>-4.7587821841210499E-2</v>
      </c>
      <c r="H75" s="194">
        <v>1.1977249797158701E-2</v>
      </c>
      <c r="I75" s="26">
        <f t="shared" si="0"/>
        <v>-1.3098180880658917E-2</v>
      </c>
      <c r="J75" s="27">
        <f t="shared" si="1"/>
        <v>-0.40292706317115268</v>
      </c>
      <c r="K75" s="20">
        <f t="shared" si="2"/>
        <v>0.20834706145957341</v>
      </c>
      <c r="L75" s="28">
        <f t="shared" si="3"/>
        <v>0.8154994713096434</v>
      </c>
      <c r="M75" s="29">
        <f t="shared" si="4"/>
        <v>-7.2009734842149689E-2</v>
      </c>
      <c r="N75" s="30">
        <f t="shared" si="5"/>
        <v>-0.37487814738754105</v>
      </c>
      <c r="O75" s="31">
        <f t="shared" si="6"/>
        <v>0.38157578060021891</v>
      </c>
      <c r="P75" s="26">
        <f t="shared" si="7"/>
        <v>9.2601227994765375E-2</v>
      </c>
      <c r="Q75" s="6">
        <v>0.343017505710356</v>
      </c>
      <c r="R75" s="6">
        <v>0.41721364879154998</v>
      </c>
      <c r="S75" s="6">
        <v>0.20663286985509199</v>
      </c>
      <c r="T75" s="6">
        <v>0.471203595266315</v>
      </c>
      <c r="U75" s="6">
        <v>0.35342081472452103</v>
      </c>
      <c r="V75" s="6">
        <v>0.35092634520589699</v>
      </c>
    </row>
    <row r="76" spans="1:22" ht="15.75" customHeight="1" x14ac:dyDescent="0.3">
      <c r="A76" s="19" t="s">
        <v>108</v>
      </c>
      <c r="B76" s="19" t="s">
        <v>109</v>
      </c>
      <c r="C76" s="222">
        <v>5.8055188970872799E-2</v>
      </c>
      <c r="D76" s="23">
        <v>-3.1527136116012003E-2</v>
      </c>
      <c r="E76" s="223">
        <v>-4.3597506537891503E-2</v>
      </c>
      <c r="F76" s="32">
        <v>-6.2021729785777899E-2</v>
      </c>
      <c r="G76" s="178">
        <v>-8.4409421110977795E-2</v>
      </c>
      <c r="H76" s="224">
        <v>-9.5639735462569195E-2</v>
      </c>
      <c r="I76" s="26">
        <f t="shared" si="0"/>
        <v>-4.3190056673725934E-2</v>
      </c>
      <c r="J76" s="27">
        <f t="shared" si="1"/>
        <v>1.1399503575479095</v>
      </c>
      <c r="K76" s="20">
        <f t="shared" si="2"/>
        <v>-0.19796711381465815</v>
      </c>
      <c r="L76" s="28">
        <f t="shared" si="3"/>
        <v>-0.13140452239401565</v>
      </c>
      <c r="M76" s="29">
        <f t="shared" si="4"/>
        <v>-0.7077314182591552</v>
      </c>
      <c r="N76" s="30">
        <f t="shared" si="5"/>
        <v>-0.84221213873146061</v>
      </c>
      <c r="O76" s="31">
        <f t="shared" si="6"/>
        <v>-0.98441646551743389</v>
      </c>
      <c r="P76" s="26">
        <f t="shared" si="7"/>
        <v>-0.2872968835281357</v>
      </c>
      <c r="Q76" s="6">
        <v>0.126380338893675</v>
      </c>
      <c r="R76" s="6">
        <v>0.42128273734078397</v>
      </c>
      <c r="S76" s="6">
        <v>0.44755809336881103</v>
      </c>
      <c r="T76" s="6">
        <v>0.23883951108689699</v>
      </c>
      <c r="U76" s="6">
        <v>0.19906659097173299</v>
      </c>
      <c r="V76" s="6">
        <v>0.16166736710829399</v>
      </c>
    </row>
    <row r="77" spans="1:22" ht="15.75" customHeight="1" x14ac:dyDescent="0.3">
      <c r="A77" s="19" t="s">
        <v>110</v>
      </c>
      <c r="B77" s="19" t="s">
        <v>109</v>
      </c>
      <c r="C77" s="199">
        <v>-1.9351729656957601E-2</v>
      </c>
      <c r="D77" s="163">
        <v>-1.12535553983584E-2</v>
      </c>
      <c r="E77" s="195">
        <v>-5.6588978284753101E-2</v>
      </c>
      <c r="F77" s="33">
        <v>-5.6485750879029198E-2</v>
      </c>
      <c r="G77" s="159">
        <v>-1.6069697352399201E-2</v>
      </c>
      <c r="H77" s="27">
        <v>-4.82823422741403E-2</v>
      </c>
      <c r="I77" s="26">
        <f t="shared" si="0"/>
        <v>-3.4672008974272972E-2</v>
      </c>
      <c r="J77" s="27">
        <f t="shared" si="1"/>
        <v>0.11757687491050257</v>
      </c>
      <c r="K77" s="20">
        <f t="shared" si="2"/>
        <v>5.7789541782042264E-2</v>
      </c>
      <c r="L77" s="28">
        <f t="shared" si="3"/>
        <v>-0.30860887158738903</v>
      </c>
      <c r="M77" s="29">
        <f t="shared" si="4"/>
        <v>-0.63912759841585021</v>
      </c>
      <c r="N77" s="30">
        <f t="shared" si="5"/>
        <v>2.5144969726888518E-2</v>
      </c>
      <c r="O77" s="31">
        <f t="shared" si="6"/>
        <v>-0.38330473825975858</v>
      </c>
      <c r="P77" s="26">
        <f t="shared" si="7"/>
        <v>-0.18842163697392741</v>
      </c>
      <c r="Q77" s="6">
        <v>0.45304948291495301</v>
      </c>
      <c r="R77" s="6">
        <v>0.47688304083869099</v>
      </c>
      <c r="S77" s="6">
        <v>0.37842658704419102</v>
      </c>
      <c r="T77" s="6">
        <v>0.26069220132952198</v>
      </c>
      <c r="U77" s="6">
        <v>0.48993694687185602</v>
      </c>
      <c r="V77" s="6">
        <v>0.35028344825674401</v>
      </c>
    </row>
    <row r="78" spans="1:22" ht="15.75" customHeight="1" x14ac:dyDescent="0.3">
      <c r="A78" s="19" t="s">
        <v>111</v>
      </c>
      <c r="B78" s="19" t="s">
        <v>109</v>
      </c>
      <c r="C78" s="60">
        <v>-3.25070926749879E-2</v>
      </c>
      <c r="D78" s="225">
        <v>8.90834881534181E-2</v>
      </c>
      <c r="E78" s="134">
        <v>0.108554865272199</v>
      </c>
      <c r="F78" s="83">
        <v>7.8535836355062297E-2</v>
      </c>
      <c r="G78" s="109">
        <v>5.3894400145772001E-2</v>
      </c>
      <c r="H78" s="82">
        <v>4.5507495017005802E-2</v>
      </c>
      <c r="I78" s="26">
        <f t="shared" si="0"/>
        <v>5.7178165378078218E-2</v>
      </c>
      <c r="J78" s="27">
        <f t="shared" si="1"/>
        <v>-5.6176253912111042E-2</v>
      </c>
      <c r="K78" s="20">
        <f t="shared" si="2"/>
        <v>1.3235682440572294</v>
      </c>
      <c r="L78" s="28">
        <f t="shared" si="3"/>
        <v>1.9439617294202631</v>
      </c>
      <c r="M78" s="29">
        <f t="shared" si="4"/>
        <v>1.0341079397962878</v>
      </c>
      <c r="N78" s="30">
        <f t="shared" si="5"/>
        <v>0.91311837617915304</v>
      </c>
      <c r="O78" s="31">
        <f t="shared" si="6"/>
        <v>0.80717825283258826</v>
      </c>
      <c r="P78" s="26">
        <f t="shared" si="7"/>
        <v>0.99429304806223506</v>
      </c>
      <c r="Q78" s="6">
        <v>0.47752769506690002</v>
      </c>
      <c r="R78" s="6">
        <v>9.2107788409988997E-2</v>
      </c>
      <c r="S78" s="41">
        <v>2.55699362539068E-2</v>
      </c>
      <c r="T78" s="6">
        <v>0.14975566957161199</v>
      </c>
      <c r="U78" s="6">
        <v>0.17980786290692699</v>
      </c>
      <c r="V78" s="6">
        <v>0.209024176516868</v>
      </c>
    </row>
    <row r="79" spans="1:22" ht="15.75" customHeight="1" x14ac:dyDescent="0.3">
      <c r="A79" s="19" t="s">
        <v>112</v>
      </c>
      <c r="B79" s="19" t="s">
        <v>109</v>
      </c>
      <c r="C79" s="42">
        <v>-4.0991348534441798E-3</v>
      </c>
      <c r="D79" s="60">
        <v>2.9723131052153001E-2</v>
      </c>
      <c r="E79" s="226">
        <v>2.9318591644944599E-2</v>
      </c>
      <c r="F79" s="115">
        <v>5.4984468463639698E-2</v>
      </c>
      <c r="G79" s="43">
        <v>5.3430293363031303E-2</v>
      </c>
      <c r="H79" s="53">
        <v>4.7727372822713401E-2</v>
      </c>
      <c r="I79" s="26">
        <f t="shared" si="0"/>
        <v>3.5180787082172975E-2</v>
      </c>
      <c r="J79" s="27">
        <f t="shared" si="1"/>
        <v>0.31902977789324338</v>
      </c>
      <c r="K79" s="20">
        <f t="shared" si="2"/>
        <v>0.57472142618723332</v>
      </c>
      <c r="L79" s="28">
        <f t="shared" si="3"/>
        <v>0.86317484289852531</v>
      </c>
      <c r="M79" s="29">
        <f t="shared" si="4"/>
        <v>0.74225101131036109</v>
      </c>
      <c r="N79" s="30">
        <f t="shared" si="5"/>
        <v>0.90722800532374914</v>
      </c>
      <c r="O79" s="31">
        <f t="shared" si="6"/>
        <v>0.83535536504779162</v>
      </c>
      <c r="P79" s="26">
        <f t="shared" si="7"/>
        <v>0.70696007144348405</v>
      </c>
      <c r="Q79" s="6">
        <v>0.37445738296123998</v>
      </c>
      <c r="R79" s="6">
        <v>0.28210601791308998</v>
      </c>
      <c r="S79" s="6">
        <v>0.19324752630543099</v>
      </c>
      <c r="T79" s="6">
        <v>0.22823479802347199</v>
      </c>
      <c r="U79" s="6">
        <v>0.181361692620994</v>
      </c>
      <c r="V79" s="6">
        <v>0.20099265191156901</v>
      </c>
    </row>
    <row r="80" spans="1:22" ht="15.75" customHeight="1" x14ac:dyDescent="0.3">
      <c r="A80" s="19" t="s">
        <v>113</v>
      </c>
      <c r="B80" s="19" t="s">
        <v>109</v>
      </c>
      <c r="C80" s="130">
        <v>-1.02001727748496E-2</v>
      </c>
      <c r="D80" s="64">
        <v>4.9824901763724803E-2</v>
      </c>
      <c r="E80" s="227">
        <v>7.34427794698711E-2</v>
      </c>
      <c r="F80" s="84">
        <v>7.6753063486787204E-2</v>
      </c>
      <c r="G80" s="109">
        <v>7.7215765978495804E-2</v>
      </c>
      <c r="H80" s="137">
        <v>5.90117516683938E-2</v>
      </c>
      <c r="I80" s="26">
        <f t="shared" si="0"/>
        <v>5.4341348265403849E-2</v>
      </c>
      <c r="J80" s="27">
        <f t="shared" si="1"/>
        <v>0.23844861670014642</v>
      </c>
      <c r="K80" s="20">
        <f t="shared" si="2"/>
        <v>0.82831065249921609</v>
      </c>
      <c r="L80" s="28">
        <f t="shared" si="3"/>
        <v>1.4650310559246695</v>
      </c>
      <c r="M80" s="29">
        <f t="shared" si="4"/>
        <v>1.0120151842535274</v>
      </c>
      <c r="N80" s="30">
        <f t="shared" si="5"/>
        <v>1.209109511663242</v>
      </c>
      <c r="O80" s="31">
        <f t="shared" si="6"/>
        <v>0.97858901880841054</v>
      </c>
      <c r="P80" s="26">
        <f t="shared" si="7"/>
        <v>0.95525067330820201</v>
      </c>
      <c r="Q80" s="6">
        <v>0.40546494211454698</v>
      </c>
      <c r="R80" s="6">
        <v>0.20298310277715201</v>
      </c>
      <c r="S80" s="6">
        <v>7.0806482476427596E-2</v>
      </c>
      <c r="T80" s="6">
        <v>0.154977362851872</v>
      </c>
      <c r="U80" s="6">
        <v>0.11255450849769499</v>
      </c>
      <c r="V80" s="6">
        <v>0.16310367477448701</v>
      </c>
    </row>
    <row r="81" spans="1:22" ht="15.75" customHeight="1" x14ac:dyDescent="0.3">
      <c r="A81" s="19" t="s">
        <v>114</v>
      </c>
      <c r="B81" s="19" t="s">
        <v>109</v>
      </c>
      <c r="C81" s="174">
        <v>-7.9122835543225297E-3</v>
      </c>
      <c r="D81" s="66">
        <v>2.5685595909230498E-2</v>
      </c>
      <c r="E81" s="228">
        <v>5.2492568274481601E-2</v>
      </c>
      <c r="F81" s="150">
        <v>0.101993374095522</v>
      </c>
      <c r="G81" s="167">
        <v>6.6193229888402497E-2</v>
      </c>
      <c r="H81" s="70">
        <v>7.5105865759773904E-2</v>
      </c>
      <c r="I81" s="26">
        <f t="shared" si="0"/>
        <v>5.2259725062181329E-2</v>
      </c>
      <c r="J81" s="27">
        <f t="shared" si="1"/>
        <v>0.2686665521475583</v>
      </c>
      <c r="K81" s="20">
        <f t="shared" si="2"/>
        <v>0.5237868379963655</v>
      </c>
      <c r="L81" s="28">
        <f t="shared" si="3"/>
        <v>1.1792690874056251</v>
      </c>
      <c r="M81" s="29">
        <f t="shared" si="4"/>
        <v>1.3248020916746879</v>
      </c>
      <c r="N81" s="30">
        <f t="shared" si="5"/>
        <v>1.0692132038473794</v>
      </c>
      <c r="O81" s="31">
        <f t="shared" si="6"/>
        <v>1.1828730823686358</v>
      </c>
      <c r="P81" s="26">
        <f t="shared" si="7"/>
        <v>0.92476847590670863</v>
      </c>
      <c r="Q81" s="6">
        <v>0.39375588329275502</v>
      </c>
      <c r="R81" s="6">
        <v>0.299619295897875</v>
      </c>
      <c r="S81" s="6">
        <v>0.11838146369148</v>
      </c>
      <c r="T81" s="6">
        <v>9.1903456004848602E-2</v>
      </c>
      <c r="U81" s="6">
        <v>0.141702494570285</v>
      </c>
      <c r="V81" s="6">
        <v>0.117666598341295</v>
      </c>
    </row>
    <row r="82" spans="1:22" ht="15.75" customHeight="1" x14ac:dyDescent="0.3">
      <c r="A82" s="19" t="s">
        <v>115</v>
      </c>
      <c r="B82" s="19" t="s">
        <v>116</v>
      </c>
      <c r="C82" s="111">
        <v>1.06386848754506E-2</v>
      </c>
      <c r="D82" s="160">
        <v>2.2758578169254799E-2</v>
      </c>
      <c r="E82" s="92">
        <v>6.3276234626196803E-2</v>
      </c>
      <c r="F82" s="152">
        <v>3.1646350915312399E-3</v>
      </c>
      <c r="G82" s="93">
        <v>-2.83273903574685E-2</v>
      </c>
      <c r="H82" s="24">
        <v>9.9847412939751398E-2</v>
      </c>
      <c r="I82" s="26">
        <f t="shared" si="0"/>
        <v>2.8559692557452721E-2</v>
      </c>
      <c r="J82" s="27">
        <f t="shared" si="1"/>
        <v>0.51368364540031586</v>
      </c>
      <c r="K82" s="20">
        <f t="shared" si="2"/>
        <v>0.48686172454580789</v>
      </c>
      <c r="L82" s="28">
        <f t="shared" si="3"/>
        <v>1.3263588563716235</v>
      </c>
      <c r="M82" s="29">
        <f t="shared" si="4"/>
        <v>0.10008120306987049</v>
      </c>
      <c r="N82" s="30">
        <f t="shared" si="5"/>
        <v>-0.13042775688824421</v>
      </c>
      <c r="O82" s="31">
        <f t="shared" si="6"/>
        <v>1.4969198057853588</v>
      </c>
      <c r="P82" s="26">
        <f t="shared" si="7"/>
        <v>0.63224624638078886</v>
      </c>
      <c r="Q82" s="6">
        <v>0.30315087343702901</v>
      </c>
      <c r="R82" s="6">
        <v>0.31261550130650101</v>
      </c>
      <c r="S82" s="6">
        <v>9.1646125888852195E-2</v>
      </c>
      <c r="T82" s="6">
        <v>0.460010315315179</v>
      </c>
      <c r="U82" s="6">
        <v>0.44794568017858399</v>
      </c>
      <c r="V82" s="6">
        <v>6.6573901944974895E-2</v>
      </c>
    </row>
    <row r="83" spans="1:22" ht="15.75" customHeight="1" x14ac:dyDescent="0.3">
      <c r="A83" s="19" t="s">
        <v>117</v>
      </c>
      <c r="B83" s="19" t="s">
        <v>118</v>
      </c>
      <c r="C83" s="184">
        <v>-0.217158818515022</v>
      </c>
      <c r="D83" s="186">
        <v>-0.24234426121497701</v>
      </c>
      <c r="E83" s="186">
        <v>-0.29478901370021798</v>
      </c>
      <c r="F83" s="229">
        <v>-0.25408010678545601</v>
      </c>
      <c r="G83" s="230">
        <v>-7.8489598458700294E-2</v>
      </c>
      <c r="H83" s="26">
        <v>-0.23060606374877701</v>
      </c>
      <c r="I83" s="26">
        <f t="shared" si="0"/>
        <v>-0.21957797707052504</v>
      </c>
      <c r="J83" s="27">
        <f t="shared" si="1"/>
        <v>-2.4950154606469139</v>
      </c>
      <c r="K83" s="20">
        <f t="shared" si="2"/>
        <v>-2.8574816617737406</v>
      </c>
      <c r="L83" s="28">
        <f t="shared" si="3"/>
        <v>-3.5576697228980039</v>
      </c>
      <c r="M83" s="29">
        <f t="shared" si="4"/>
        <v>-3.0877871440895386</v>
      </c>
      <c r="N83" s="30">
        <f t="shared" si="5"/>
        <v>-0.76707867350990844</v>
      </c>
      <c r="O83" s="31">
        <f t="shared" si="6"/>
        <v>-2.6975564264722895</v>
      </c>
      <c r="P83" s="26">
        <f t="shared" si="7"/>
        <v>-2.577098181565066</v>
      </c>
      <c r="Q83" s="41">
        <v>6.1545667823473902E-3</v>
      </c>
      <c r="R83" s="41">
        <v>2.0731944750496199E-3</v>
      </c>
      <c r="S83" s="41">
        <v>1.7898378020657899E-4</v>
      </c>
      <c r="T83" s="41">
        <v>9.7461245184933803E-4</v>
      </c>
      <c r="U83" s="6">
        <v>0.22077412571347499</v>
      </c>
      <c r="V83" s="41">
        <v>3.40128736438084E-3</v>
      </c>
    </row>
    <row r="84" spans="1:22" ht="15.75" customHeight="1" x14ac:dyDescent="0.3">
      <c r="A84" s="19" t="s">
        <v>119</v>
      </c>
      <c r="B84" s="19" t="s">
        <v>118</v>
      </c>
      <c r="C84" s="231">
        <v>-0.26263697202083103</v>
      </c>
      <c r="D84" s="186">
        <v>-0.26132926688701602</v>
      </c>
      <c r="E84" s="186">
        <v>-0.28183655538202601</v>
      </c>
      <c r="F84" s="186">
        <v>-0.218274521178417</v>
      </c>
      <c r="G84" s="232">
        <v>-0.20310226962459699</v>
      </c>
      <c r="H84" s="233">
        <v>-0.21023251855417199</v>
      </c>
      <c r="I84" s="26">
        <f t="shared" si="0"/>
        <v>-0.2395686839411765</v>
      </c>
      <c r="J84" s="27">
        <f t="shared" si="1"/>
        <v>-3.095680866373784</v>
      </c>
      <c r="K84" s="20">
        <f t="shared" si="2"/>
        <v>-3.0969825977350447</v>
      </c>
      <c r="L84" s="28">
        <f t="shared" si="3"/>
        <v>-3.3809975188974084</v>
      </c>
      <c r="M84" s="29">
        <f t="shared" si="4"/>
        <v>-2.6440715906623327</v>
      </c>
      <c r="N84" s="30">
        <f t="shared" si="5"/>
        <v>-2.3486432481860775</v>
      </c>
      <c r="O84" s="31">
        <f t="shared" si="6"/>
        <v>-2.4389531521416479</v>
      </c>
      <c r="P84" s="26">
        <f t="shared" si="7"/>
        <v>-2.8342214956660494</v>
      </c>
      <c r="Q84" s="41">
        <v>9.4888607348288701E-4</v>
      </c>
      <c r="R84" s="41">
        <v>9.4470401389343001E-4</v>
      </c>
      <c r="S84" s="41">
        <v>3.46886072732189E-4</v>
      </c>
      <c r="T84" s="41">
        <v>3.9925607205459797E-3</v>
      </c>
      <c r="U84" s="41">
        <v>9.2288516934547499E-3</v>
      </c>
      <c r="V84" s="41">
        <v>7.2043285606200698E-3</v>
      </c>
    </row>
    <row r="85" spans="1:22" ht="15.75" customHeight="1" x14ac:dyDescent="0.3">
      <c r="A85" s="19" t="s">
        <v>120</v>
      </c>
      <c r="B85" s="19" t="s">
        <v>118</v>
      </c>
      <c r="C85" s="198">
        <v>-6.0857853266018398E-2</v>
      </c>
      <c r="D85" s="186">
        <v>-0.13650929746858201</v>
      </c>
      <c r="E85" s="186">
        <v>-0.22604735238499199</v>
      </c>
      <c r="F85" s="197">
        <v>-0.272789838887247</v>
      </c>
      <c r="G85" s="234">
        <v>-0.10977813072847301</v>
      </c>
      <c r="H85" s="110">
        <v>-0.18818173235081001</v>
      </c>
      <c r="I85" s="26">
        <f t="shared" si="0"/>
        <v>-0.16569403418102038</v>
      </c>
      <c r="J85" s="27">
        <f t="shared" si="1"/>
        <v>-0.43062683733127954</v>
      </c>
      <c r="K85" s="20">
        <f t="shared" si="2"/>
        <v>-1.5223452223875769</v>
      </c>
      <c r="L85" s="28">
        <f t="shared" si="3"/>
        <v>-2.6200298932321608</v>
      </c>
      <c r="M85" s="29">
        <f t="shared" si="4"/>
        <v>-3.3196447996277549</v>
      </c>
      <c r="N85" s="30">
        <f t="shared" si="5"/>
        <v>-1.1641878420117662</v>
      </c>
      <c r="O85" s="31">
        <f t="shared" si="6"/>
        <v>-2.1590605041372957</v>
      </c>
      <c r="P85" s="26">
        <f t="shared" si="7"/>
        <v>-1.8693158497879721</v>
      </c>
      <c r="Q85" s="6">
        <v>0.33285914232726199</v>
      </c>
      <c r="R85" s="6">
        <v>6.3341710518332997E-2</v>
      </c>
      <c r="S85" s="41">
        <v>4.2871327383399204E-3</v>
      </c>
      <c r="T85" s="41">
        <v>4.3348874053548801E-4</v>
      </c>
      <c r="U85" s="6">
        <v>0.121406169522721</v>
      </c>
      <c r="V85" s="41">
        <v>1.51515910513823E-2</v>
      </c>
    </row>
    <row r="86" spans="1:22" ht="15.75" customHeight="1" x14ac:dyDescent="0.3">
      <c r="A86" s="19" t="s">
        <v>121</v>
      </c>
      <c r="B86" s="19" t="s">
        <v>118</v>
      </c>
      <c r="C86" s="235">
        <v>-1.7769272946093099E-2</v>
      </c>
      <c r="D86" s="146">
        <v>-7.2710515210203802E-2</v>
      </c>
      <c r="E86" s="186">
        <v>-0.14341691046351199</v>
      </c>
      <c r="F86" s="159">
        <v>-0.15221809490127999</v>
      </c>
      <c r="G86" s="236">
        <v>-9.9719671000710504E-3</v>
      </c>
      <c r="H86" s="86">
        <v>-0.16080323941374899</v>
      </c>
      <c r="I86" s="26">
        <f t="shared" si="0"/>
        <v>-9.281500000581816E-2</v>
      </c>
      <c r="J86" s="27">
        <f t="shared" si="1"/>
        <v>0.13847761359496172</v>
      </c>
      <c r="K86" s="20">
        <f t="shared" si="2"/>
        <v>-0.71750648132904216</v>
      </c>
      <c r="L86" s="28">
        <f t="shared" si="3"/>
        <v>-1.4929463749391749</v>
      </c>
      <c r="M86" s="29">
        <f t="shared" si="4"/>
        <v>-1.8254768589727275</v>
      </c>
      <c r="N86" s="30">
        <f t="shared" si="5"/>
        <v>0.10253641044301279</v>
      </c>
      <c r="O86" s="31">
        <f t="shared" si="6"/>
        <v>-1.8115427868164449</v>
      </c>
      <c r="P86" s="26">
        <f t="shared" si="7"/>
        <v>-0.93440974633656915</v>
      </c>
      <c r="Q86" s="6">
        <v>0.444752962181237</v>
      </c>
      <c r="R86" s="6">
        <v>0.23580946157129701</v>
      </c>
      <c r="S86" s="6">
        <v>6.7090357382087296E-2</v>
      </c>
      <c r="T86" s="41">
        <v>3.35179881337253E-2</v>
      </c>
      <c r="U86" s="6">
        <v>0.45903269654788098</v>
      </c>
      <c r="V86" s="41">
        <v>3.4573872563467702E-2</v>
      </c>
    </row>
    <row r="87" spans="1:22" ht="15.75" customHeight="1" x14ac:dyDescent="0.3">
      <c r="A87" s="19" t="s">
        <v>122</v>
      </c>
      <c r="B87" s="19" t="s">
        <v>118</v>
      </c>
      <c r="C87" s="49">
        <v>-7.6110448069531794E-2</v>
      </c>
      <c r="D87" s="193">
        <v>-8.5567630665325897E-2</v>
      </c>
      <c r="E87" s="36">
        <v>-0.114156838961571</v>
      </c>
      <c r="F87" s="22">
        <v>-0.123975219461765</v>
      </c>
      <c r="G87" s="147">
        <v>-9.3070286549806105E-2</v>
      </c>
      <c r="H87" s="72">
        <v>-0.109191080431047</v>
      </c>
      <c r="I87" s="26">
        <f t="shared" si="0"/>
        <v>-0.10034525068984113</v>
      </c>
      <c r="J87" s="27">
        <f t="shared" si="1"/>
        <v>-0.63207974031402014</v>
      </c>
      <c r="K87" s="20">
        <f t="shared" si="2"/>
        <v>-0.87970243946875715</v>
      </c>
      <c r="L87" s="28">
        <f t="shared" si="3"/>
        <v>-1.093837480359499</v>
      </c>
      <c r="M87" s="29">
        <f t="shared" si="4"/>
        <v>-1.4754811001111152</v>
      </c>
      <c r="N87" s="30">
        <f t="shared" si="5"/>
        <v>-0.95213449121720639</v>
      </c>
      <c r="O87" s="31">
        <f t="shared" si="6"/>
        <v>-1.1564249278129606</v>
      </c>
      <c r="P87" s="26">
        <f t="shared" si="7"/>
        <v>-1.031610029880593</v>
      </c>
      <c r="Q87" s="6">
        <v>0.26299407879407599</v>
      </c>
      <c r="R87" s="6">
        <v>0.188733618555746</v>
      </c>
      <c r="S87" s="6">
        <v>0.136231912343619</v>
      </c>
      <c r="T87" s="6">
        <v>6.9397257760630299E-2</v>
      </c>
      <c r="U87" s="6">
        <v>0.16972792469950501</v>
      </c>
      <c r="V87" s="6">
        <v>0.122984112912779</v>
      </c>
    </row>
    <row r="88" spans="1:22" ht="15.75" customHeight="1" x14ac:dyDescent="0.3">
      <c r="A88" s="19" t="s">
        <v>123</v>
      </c>
      <c r="B88" s="19" t="s">
        <v>118</v>
      </c>
      <c r="C88" s="129">
        <v>-0.109094184332129</v>
      </c>
      <c r="D88" s="108">
        <v>-5.5873134614186498E-2</v>
      </c>
      <c r="E88" s="237">
        <v>-0.106198099513043</v>
      </c>
      <c r="F88" s="86">
        <v>-7.9656111490788495E-2</v>
      </c>
      <c r="G88" s="203">
        <v>5.3889126205059097E-2</v>
      </c>
      <c r="H88" s="155">
        <v>-8.5179402165977303E-2</v>
      </c>
      <c r="I88" s="26">
        <f t="shared" si="0"/>
        <v>-6.3685300985177537E-2</v>
      </c>
      <c r="J88" s="27">
        <f t="shared" si="1"/>
        <v>-1.0677216430141896</v>
      </c>
      <c r="K88" s="20">
        <f t="shared" si="2"/>
        <v>-0.50509841142669887</v>
      </c>
      <c r="L88" s="28">
        <f t="shared" si="3"/>
        <v>-0.98527986103382648</v>
      </c>
      <c r="M88" s="29">
        <f t="shared" si="4"/>
        <v>-0.92626294916217533</v>
      </c>
      <c r="N88" s="30">
        <f t="shared" si="5"/>
        <v>0.91305144014670603</v>
      </c>
      <c r="O88" s="31">
        <f t="shared" si="6"/>
        <v>-0.85164249735185371</v>
      </c>
      <c r="P88" s="26">
        <f t="shared" si="7"/>
        <v>-0.57049232030700636</v>
      </c>
      <c r="Q88" s="6">
        <v>0.14203857654431301</v>
      </c>
      <c r="R88" s="6">
        <v>0.306166394654451</v>
      </c>
      <c r="S88" s="6">
        <v>0.161455266855833</v>
      </c>
      <c r="T88" s="6">
        <v>0.17637069760372701</v>
      </c>
      <c r="U88" s="6">
        <v>0.179825472954393</v>
      </c>
      <c r="V88" s="6">
        <v>0.19643585173981201</v>
      </c>
    </row>
    <row r="89" spans="1:22" ht="15.75" customHeight="1" x14ac:dyDescent="0.3">
      <c r="A89" s="19" t="s">
        <v>124</v>
      </c>
      <c r="B89" s="19" t="s">
        <v>118</v>
      </c>
      <c r="C89" s="122">
        <v>8.3507956549235804E-2</v>
      </c>
      <c r="D89" s="28">
        <v>-1.44320405108721E-2</v>
      </c>
      <c r="E89" s="238">
        <v>-8.9652859081946104E-2</v>
      </c>
      <c r="F89" s="131">
        <v>-6.9997292617534498E-2</v>
      </c>
      <c r="G89" s="239">
        <v>-7.5417352195375306E-2</v>
      </c>
      <c r="H89" s="178">
        <v>-6.0306680388389898E-2</v>
      </c>
      <c r="I89" s="26">
        <f t="shared" si="0"/>
        <v>-3.7716378040813688E-2</v>
      </c>
      <c r="J89" s="27">
        <f t="shared" si="1"/>
        <v>1.476124889400358</v>
      </c>
      <c r="K89" s="20">
        <f t="shared" si="2"/>
        <v>1.7692100014760296E-2</v>
      </c>
      <c r="L89" s="28">
        <f t="shared" si="3"/>
        <v>-0.75960192246241853</v>
      </c>
      <c r="M89" s="29">
        <f t="shared" si="4"/>
        <v>-0.80656742989781494</v>
      </c>
      <c r="N89" s="30">
        <f t="shared" si="5"/>
        <v>-0.72808620340799313</v>
      </c>
      <c r="O89" s="31">
        <f t="shared" si="6"/>
        <v>-0.5359307627587786</v>
      </c>
      <c r="P89" s="26">
        <f t="shared" si="7"/>
        <v>-0.22272822151864782</v>
      </c>
      <c r="Q89" s="6">
        <v>6.9311152075272206E-2</v>
      </c>
      <c r="R89" s="6">
        <v>0.49291921687733198</v>
      </c>
      <c r="S89" s="6">
        <v>0.22300605813684499</v>
      </c>
      <c r="T89" s="6">
        <v>0.20920035127356401</v>
      </c>
      <c r="U89" s="6">
        <v>0.23255400947025501</v>
      </c>
      <c r="V89" s="6">
        <v>0.29539923003031998</v>
      </c>
    </row>
    <row r="90" spans="1:22" ht="15.75" customHeight="1" x14ac:dyDescent="0.3">
      <c r="A90" s="19" t="s">
        <v>125</v>
      </c>
      <c r="B90" s="19" t="s">
        <v>118</v>
      </c>
      <c r="C90" s="152">
        <v>-1.4337439115302599E-2</v>
      </c>
      <c r="D90" s="58">
        <v>2.1813623135804899E-2</v>
      </c>
      <c r="E90" s="67">
        <v>-4.55712313610225E-2</v>
      </c>
      <c r="F90" s="113">
        <v>-4.7034495673054497E-2</v>
      </c>
      <c r="G90" s="47">
        <v>-6.5143715686522604E-3</v>
      </c>
      <c r="H90" s="95">
        <v>-4.2964725894104397E-2</v>
      </c>
      <c r="I90" s="26">
        <f t="shared" si="0"/>
        <v>-2.2434773412721893E-2</v>
      </c>
      <c r="J90" s="27">
        <f t="shared" si="1"/>
        <v>0.18380451676607815</v>
      </c>
      <c r="K90" s="20">
        <f t="shared" si="2"/>
        <v>0.47494086347986075</v>
      </c>
      <c r="L90" s="28">
        <f t="shared" si="3"/>
        <v>-0.15832623146475472</v>
      </c>
      <c r="M90" s="29">
        <f t="shared" si="4"/>
        <v>-0.52200428194992998</v>
      </c>
      <c r="N90" s="30">
        <f t="shared" si="5"/>
        <v>0.14641967331577868</v>
      </c>
      <c r="O90" s="31">
        <f t="shared" si="6"/>
        <v>-0.31580774672606698</v>
      </c>
      <c r="P90" s="26">
        <f t="shared" si="7"/>
        <v>-3.1828867763172349E-2</v>
      </c>
      <c r="Q90" s="6">
        <v>0.42684818491931997</v>
      </c>
      <c r="R90" s="6">
        <v>0.316862511842749</v>
      </c>
      <c r="S90" s="6">
        <v>0.43689636573365997</v>
      </c>
      <c r="T90" s="6">
        <v>0.300241033966894</v>
      </c>
      <c r="U90" s="6">
        <v>0.44160650615699798</v>
      </c>
      <c r="V90" s="6">
        <v>0.37568321983752001</v>
      </c>
    </row>
    <row r="91" spans="1:22" ht="15.75" customHeight="1" x14ac:dyDescent="0.3">
      <c r="A91" s="19" t="s">
        <v>126</v>
      </c>
      <c r="B91" s="19" t="s">
        <v>118</v>
      </c>
      <c r="C91" s="152">
        <v>6.6348787395283201E-2</v>
      </c>
      <c r="D91" s="240">
        <v>-2.4740640875780501E-2</v>
      </c>
      <c r="E91" s="241">
        <v>-9.3164067662178995E-2</v>
      </c>
      <c r="F91" s="47">
        <v>-6.9340481560801595E-2</v>
      </c>
      <c r="G91" s="242">
        <v>-7.8550072978875493E-2</v>
      </c>
      <c r="H91" s="185">
        <v>-4.1437719039875198E-2</v>
      </c>
      <c r="I91" s="26">
        <f t="shared" si="0"/>
        <v>-4.0147365787038099E-2</v>
      </c>
      <c r="J91" s="27">
        <f t="shared" si="1"/>
        <v>1.2494903735447744</v>
      </c>
      <c r="K91" s="20">
        <f t="shared" si="2"/>
        <v>-0.11235365706830505</v>
      </c>
      <c r="L91" s="28">
        <f t="shared" si="3"/>
        <v>-0.8074949898119792</v>
      </c>
      <c r="M91" s="29">
        <f t="shared" si="4"/>
        <v>-0.79842799364521932</v>
      </c>
      <c r="N91" s="30">
        <f t="shared" si="5"/>
        <v>-0.7678462066819749</v>
      </c>
      <c r="O91" s="31">
        <f t="shared" si="6"/>
        <v>-0.29642530892954783</v>
      </c>
      <c r="P91" s="26">
        <f t="shared" si="7"/>
        <v>-0.25550963043204195</v>
      </c>
      <c r="Q91" s="6">
        <v>0.10499971149934299</v>
      </c>
      <c r="R91" s="6">
        <v>0.45512618196127902</v>
      </c>
      <c r="S91" s="6">
        <v>0.20893285702414899</v>
      </c>
      <c r="T91" s="6">
        <v>0.21155627497096199</v>
      </c>
      <c r="U91" s="6">
        <v>0.22054573076370201</v>
      </c>
      <c r="V91" s="6">
        <v>0.38308345684914702</v>
      </c>
    </row>
    <row r="92" spans="1:22" ht="15.75" customHeight="1" x14ac:dyDescent="0.3">
      <c r="A92" s="19" t="s">
        <v>127</v>
      </c>
      <c r="B92" s="19" t="s">
        <v>118</v>
      </c>
      <c r="C92" s="87">
        <v>-1.7502352537031501E-2</v>
      </c>
      <c r="D92" s="119">
        <v>-2.50618735235154E-2</v>
      </c>
      <c r="E92" s="37">
        <v>-7.4051034289578002E-2</v>
      </c>
      <c r="F92" s="31">
        <v>-1.522607449699E-2</v>
      </c>
      <c r="G92" s="42">
        <v>5.8344551319370497E-2</v>
      </c>
      <c r="H92" s="243">
        <v>-3.9326592823639102E-2</v>
      </c>
      <c r="I92" s="26">
        <f t="shared" si="0"/>
        <v>-1.8803896058563918E-2</v>
      </c>
      <c r="J92" s="27">
        <f t="shared" si="1"/>
        <v>0.14200303939716119</v>
      </c>
      <c r="K92" s="20">
        <f t="shared" si="2"/>
        <v>-0.11640609303397591</v>
      </c>
      <c r="L92" s="28">
        <f t="shared" si="3"/>
        <v>-0.54679222218896728</v>
      </c>
      <c r="M92" s="29">
        <f t="shared" si="4"/>
        <v>-0.12782301200280544</v>
      </c>
      <c r="N92" s="30">
        <f t="shared" si="5"/>
        <v>0.96959900035859148</v>
      </c>
      <c r="O92" s="31">
        <f t="shared" si="6"/>
        <v>-0.26962859059559385</v>
      </c>
      <c r="P92" s="26">
        <f t="shared" si="7"/>
        <v>8.4920203224017055E-3</v>
      </c>
      <c r="Q92" s="6">
        <v>0.44335583016820301</v>
      </c>
      <c r="R92" s="6">
        <v>0.45351486445868799</v>
      </c>
      <c r="S92" s="6">
        <v>0.29164815630692498</v>
      </c>
      <c r="T92" s="6">
        <v>0.44897950164146699</v>
      </c>
      <c r="U92" s="6">
        <v>0.16533568614562999</v>
      </c>
      <c r="V92" s="6">
        <v>0.39338461823571003</v>
      </c>
    </row>
    <row r="93" spans="1:22" ht="15.75" customHeight="1" x14ac:dyDescent="0.3">
      <c r="A93" s="19" t="s">
        <v>128</v>
      </c>
      <c r="B93" s="19" t="s">
        <v>118</v>
      </c>
      <c r="C93" s="57">
        <v>-2.0629134471751801E-2</v>
      </c>
      <c r="D93" s="190">
        <v>-3.4969583874232997E-2</v>
      </c>
      <c r="E93" s="28">
        <v>-0.100931286642694</v>
      </c>
      <c r="F93" s="39">
        <v>-6.5143714808690203E-2</v>
      </c>
      <c r="G93" s="50">
        <v>-8.2627883938138802E-2</v>
      </c>
      <c r="H93" s="244">
        <v>4.94763674575138E-3</v>
      </c>
      <c r="I93" s="26">
        <f t="shared" si="0"/>
        <v>-4.9892327831626067E-2</v>
      </c>
      <c r="J93" s="27">
        <f t="shared" si="1"/>
        <v>0.10070519428569867</v>
      </c>
      <c r="K93" s="20">
        <f t="shared" si="2"/>
        <v>-0.24139451511936749</v>
      </c>
      <c r="L93" s="28">
        <f t="shared" si="3"/>
        <v>-0.91344026000948997</v>
      </c>
      <c r="M93" s="29">
        <f t="shared" si="4"/>
        <v>-0.74642016720006488</v>
      </c>
      <c r="N93" s="30">
        <f t="shared" si="5"/>
        <v>-0.81960114697060027</v>
      </c>
      <c r="O93" s="31">
        <f t="shared" si="6"/>
        <v>0.29234825858540892</v>
      </c>
      <c r="P93" s="26">
        <f t="shared" si="7"/>
        <v>-0.3879671060714025</v>
      </c>
      <c r="Q93" s="6">
        <v>0.45976183024901701</v>
      </c>
      <c r="R93" s="6">
        <v>0.40431953170417601</v>
      </c>
      <c r="S93" s="6">
        <v>0.17972319435825301</v>
      </c>
      <c r="T93" s="6">
        <v>0.226972159285629</v>
      </c>
      <c r="U93" s="6">
        <v>0.20546013836558699</v>
      </c>
      <c r="V93" s="6">
        <v>0.38464562850383799</v>
      </c>
    </row>
    <row r="94" spans="1:22" ht="15.75" customHeight="1" x14ac:dyDescent="0.3">
      <c r="A94" s="19" t="s">
        <v>129</v>
      </c>
      <c r="B94" s="19" t="s">
        <v>118</v>
      </c>
      <c r="C94" s="245">
        <v>-8.6177160639850404E-3</v>
      </c>
      <c r="D94" s="129">
        <v>3.2895368528081601E-2</v>
      </c>
      <c r="E94" s="194">
        <v>-6.3127274262186797E-2</v>
      </c>
      <c r="F94" s="246">
        <v>-5.20074936740322E-2</v>
      </c>
      <c r="G94" s="138">
        <v>2.6553236701627601E-2</v>
      </c>
      <c r="H94" s="89">
        <v>6.9825247343166504E-3</v>
      </c>
      <c r="I94" s="26">
        <f t="shared" si="0"/>
        <v>-9.553559006029699E-3</v>
      </c>
      <c r="J94" s="27">
        <f t="shared" si="1"/>
        <v>0.25934935538460629</v>
      </c>
      <c r="K94" s="20">
        <f t="shared" si="2"/>
        <v>0.61474005234415807</v>
      </c>
      <c r="L94" s="28">
        <f t="shared" si="3"/>
        <v>-0.39779156821255623</v>
      </c>
      <c r="M94" s="29">
        <f t="shared" si="4"/>
        <v>-0.58363144214815377</v>
      </c>
      <c r="N94" s="30">
        <f t="shared" si="5"/>
        <v>0.56610859676336567</v>
      </c>
      <c r="O94" s="31">
        <f t="shared" si="6"/>
        <v>0.31817727811601171</v>
      </c>
      <c r="P94" s="26">
        <f t="shared" si="7"/>
        <v>0.12949204537457196</v>
      </c>
      <c r="Q94" s="6">
        <v>0.39735647916088201</v>
      </c>
      <c r="R94" s="6">
        <v>0.26870122489925502</v>
      </c>
      <c r="S94" s="6">
        <v>0.34491365758099601</v>
      </c>
      <c r="T94" s="6">
        <v>0.27909380879071299</v>
      </c>
      <c r="U94" s="6">
        <v>0.285032554425587</v>
      </c>
      <c r="V94" s="6">
        <v>0.37478159764403501</v>
      </c>
    </row>
    <row r="95" spans="1:22" ht="15.75" customHeight="1" x14ac:dyDescent="0.3">
      <c r="A95" s="19" t="s">
        <v>130</v>
      </c>
      <c r="B95" s="19" t="s">
        <v>118</v>
      </c>
      <c r="C95" s="244">
        <v>-2.2726366257234901E-2</v>
      </c>
      <c r="D95" s="247">
        <v>7.72520263709656E-3</v>
      </c>
      <c r="E95" s="63">
        <v>-4.9082439941255301E-2</v>
      </c>
      <c r="F95" s="131">
        <v>-4.12170263134203E-2</v>
      </c>
      <c r="G95" s="46">
        <v>-3.61370417652245E-3</v>
      </c>
      <c r="H95" s="248">
        <v>1.5307066505720199E-2</v>
      </c>
      <c r="I95" s="26">
        <f t="shared" si="0"/>
        <v>-1.56012112576027E-2</v>
      </c>
      <c r="J95" s="27">
        <f t="shared" si="1"/>
        <v>7.3005420125571749E-2</v>
      </c>
      <c r="K95" s="20">
        <f t="shared" si="2"/>
        <v>0.29721166213300232</v>
      </c>
      <c r="L95" s="28">
        <f t="shared" si="3"/>
        <v>-0.20621929881431422</v>
      </c>
      <c r="M95" s="29">
        <f t="shared" si="4"/>
        <v>-0.44991213228408439</v>
      </c>
      <c r="N95" s="30">
        <f t="shared" si="5"/>
        <v>0.18323449116205823</v>
      </c>
      <c r="O95" s="31">
        <f t="shared" si="6"/>
        <v>0.42384144892302539</v>
      </c>
      <c r="P95" s="26">
        <f t="shared" si="7"/>
        <v>5.352693187420985E-2</v>
      </c>
      <c r="Q95" s="6">
        <v>0.47080613135619298</v>
      </c>
      <c r="R95" s="6">
        <v>0.38278237374375401</v>
      </c>
      <c r="S95" s="6">
        <v>0.41804705515944302</v>
      </c>
      <c r="T95" s="6">
        <v>0.32585783373093702</v>
      </c>
      <c r="U95" s="6">
        <v>0.42707249969314098</v>
      </c>
      <c r="V95" s="6">
        <v>0.33533658726326099</v>
      </c>
    </row>
    <row r="96" spans="1:22" ht="15.75" customHeight="1" x14ac:dyDescent="0.3">
      <c r="A96" s="19" t="s">
        <v>131</v>
      </c>
      <c r="B96" s="19" t="s">
        <v>118</v>
      </c>
      <c r="C96" s="118">
        <v>-0.12129626017494</v>
      </c>
      <c r="D96" s="246">
        <v>-2.35442184697927E-2</v>
      </c>
      <c r="E96" s="49">
        <v>3.2143518548131897E-2</v>
      </c>
      <c r="F96" s="112">
        <v>-1.6164376006608298E-2</v>
      </c>
      <c r="G96" s="53">
        <v>2.4696809570664599E-2</v>
      </c>
      <c r="H96" s="29">
        <v>1.5862035957147001E-2</v>
      </c>
      <c r="I96" s="26">
        <f t="shared" si="0"/>
        <v>-1.4717081762566251E-2</v>
      </c>
      <c r="J96" s="27">
        <f t="shared" si="1"/>
        <v>-1.2288839654003858</v>
      </c>
      <c r="K96" s="20">
        <f t="shared" si="2"/>
        <v>-9.7260467685634802E-2</v>
      </c>
      <c r="L96" s="28">
        <f t="shared" si="3"/>
        <v>0.90170699253885267</v>
      </c>
      <c r="M96" s="29">
        <f t="shared" si="4"/>
        <v>-0.13945077807794032</v>
      </c>
      <c r="N96" s="30">
        <f t="shared" si="5"/>
        <v>0.54254711334174766</v>
      </c>
      <c r="O96" s="31">
        <f t="shared" si="6"/>
        <v>0.43088572697682498</v>
      </c>
      <c r="P96" s="26">
        <f t="shared" si="7"/>
        <v>6.8257436948910746E-2</v>
      </c>
      <c r="Q96" s="6">
        <v>0.108807771808402</v>
      </c>
      <c r="R96" s="6">
        <v>0.46113377880887102</v>
      </c>
      <c r="S96" s="6">
        <v>0.182825697530141</v>
      </c>
      <c r="T96" s="6">
        <v>0.44436722616040603</v>
      </c>
      <c r="U96" s="6">
        <v>0.29311158736841503</v>
      </c>
      <c r="V96" s="6">
        <v>0.33276476141671701</v>
      </c>
    </row>
    <row r="97" spans="1:22" ht="15.75" customHeight="1" x14ac:dyDescent="0.3">
      <c r="A97" s="19" t="s">
        <v>132</v>
      </c>
      <c r="B97" s="19" t="s">
        <v>118</v>
      </c>
      <c r="C97" s="91">
        <v>2.5700622243920002E-2</v>
      </c>
      <c r="D97" s="55">
        <v>6.0041349489007599E-2</v>
      </c>
      <c r="E97" s="49">
        <v>-3.2111598470129697E-2</v>
      </c>
      <c r="F97" s="249">
        <v>-6.5937006085004298E-3</v>
      </c>
      <c r="G97" s="199">
        <v>1.07736060884414E-2</v>
      </c>
      <c r="H97" s="153">
        <v>1.7896923945712399E-2</v>
      </c>
      <c r="I97" s="26">
        <f t="shared" si="0"/>
        <v>1.2617867114741879E-2</v>
      </c>
      <c r="J97" s="27">
        <f t="shared" si="1"/>
        <v>0.71261838709577108</v>
      </c>
      <c r="K97" s="20">
        <f t="shared" si="2"/>
        <v>0.95719387932957034</v>
      </c>
      <c r="L97" s="28">
        <f t="shared" si="3"/>
        <v>2.5263860041895483E-2</v>
      </c>
      <c r="M97" s="29">
        <f t="shared" si="4"/>
        <v>-2.0847564111549283E-2</v>
      </c>
      <c r="N97" s="30">
        <f t="shared" si="5"/>
        <v>0.36583598767960462</v>
      </c>
      <c r="O97" s="31">
        <f t="shared" si="6"/>
        <v>0.45671474650742949</v>
      </c>
      <c r="P97" s="26">
        <f t="shared" si="7"/>
        <v>0.41612988275712026</v>
      </c>
      <c r="Q97" s="6">
        <v>0.237322005141128</v>
      </c>
      <c r="R97" s="6">
        <v>0.168447881231548</v>
      </c>
      <c r="S97" s="6">
        <v>0.48988937696060197</v>
      </c>
      <c r="T97" s="6">
        <v>0.49165649817444101</v>
      </c>
      <c r="U97" s="6">
        <v>0.35679847578190699</v>
      </c>
      <c r="V97" s="6">
        <v>0.32340263878029901</v>
      </c>
    </row>
    <row r="98" spans="1:22" ht="15.75" customHeight="1" x14ac:dyDescent="0.3">
      <c r="A98" s="19" t="s">
        <v>133</v>
      </c>
      <c r="B98" s="19" t="s">
        <v>118</v>
      </c>
      <c r="C98" s="115">
        <v>-8.2364011938972498E-3</v>
      </c>
      <c r="D98" s="183">
        <v>-7.3940778981025704E-3</v>
      </c>
      <c r="E98" s="99">
        <v>-5.3178849951527003E-2</v>
      </c>
      <c r="F98" s="108">
        <v>-4.2155327823038699E-2</v>
      </c>
      <c r="G98" s="57">
        <v>-1.84651212242271E-2</v>
      </c>
      <c r="H98" s="206">
        <v>1.9006862848566199E-2</v>
      </c>
      <c r="I98" s="26">
        <f t="shared" si="0"/>
        <v>-1.8403819207037736E-2</v>
      </c>
      <c r="J98" s="27">
        <f t="shared" si="1"/>
        <v>0.26438567795917423</v>
      </c>
      <c r="K98" s="20">
        <f t="shared" si="2"/>
        <v>0.10647788507783805</v>
      </c>
      <c r="L98" s="28">
        <f t="shared" si="3"/>
        <v>-0.26209454405546834</v>
      </c>
      <c r="M98" s="29">
        <f t="shared" si="4"/>
        <v>-0.4615398983592206</v>
      </c>
      <c r="N98" s="30">
        <f t="shared" si="5"/>
        <v>-5.257376210893238E-3</v>
      </c>
      <c r="O98" s="31">
        <f t="shared" si="6"/>
        <v>0.47080330261503117</v>
      </c>
      <c r="P98" s="26">
        <f t="shared" si="7"/>
        <v>1.8795841171076882E-2</v>
      </c>
      <c r="Q98" s="6">
        <v>0.39540910362566201</v>
      </c>
      <c r="R98" s="6">
        <v>0.45746379374233198</v>
      </c>
      <c r="S98" s="6">
        <v>0.39629468699083098</v>
      </c>
      <c r="T98" s="6">
        <v>0.32166579002152901</v>
      </c>
      <c r="U98" s="6">
        <v>0.49789577705100202</v>
      </c>
      <c r="V98" s="6">
        <v>0.31834228670110698</v>
      </c>
    </row>
    <row r="99" spans="1:22" ht="15.75" customHeight="1" x14ac:dyDescent="0.3">
      <c r="A99" s="19" t="s">
        <v>134</v>
      </c>
      <c r="B99" s="19" t="s">
        <v>135</v>
      </c>
      <c r="C99" s="241">
        <v>-6.7111417135458901E-2</v>
      </c>
      <c r="D99" s="236">
        <v>-0.148529750257724</v>
      </c>
      <c r="E99" s="186">
        <v>-0.135766731769004</v>
      </c>
      <c r="F99" s="117">
        <v>-0.17302279837363699</v>
      </c>
      <c r="G99" s="231">
        <v>-0.13424288690776801</v>
      </c>
      <c r="H99" s="250">
        <v>-0.13911234249100901</v>
      </c>
      <c r="I99" s="26">
        <f t="shared" si="0"/>
        <v>-0.13296432115576681</v>
      </c>
      <c r="J99" s="27">
        <f t="shared" si="1"/>
        <v>-0.51322252755420339</v>
      </c>
      <c r="K99" s="20">
        <f t="shared" si="2"/>
        <v>-1.6739864567074705</v>
      </c>
      <c r="L99" s="28">
        <f t="shared" si="3"/>
        <v>-1.3885975403199726</v>
      </c>
      <c r="M99" s="29">
        <f t="shared" si="4"/>
        <v>-2.0832961449477905</v>
      </c>
      <c r="N99" s="30">
        <f t="shared" si="5"/>
        <v>-1.4746907093305439</v>
      </c>
      <c r="O99" s="31">
        <f t="shared" si="6"/>
        <v>-1.5362182463984932</v>
      </c>
      <c r="P99" s="26">
        <f t="shared" si="7"/>
        <v>-1.4450019375430789</v>
      </c>
      <c r="Q99" s="6">
        <v>0.30331250086468903</v>
      </c>
      <c r="R99" s="41">
        <v>4.65323737220113E-2</v>
      </c>
      <c r="S99" s="6">
        <v>8.1790536118020896E-2</v>
      </c>
      <c r="T99" s="41">
        <v>1.83047135715938E-2</v>
      </c>
      <c r="U99" s="6">
        <v>6.9503083777320299E-2</v>
      </c>
      <c r="V99" s="6">
        <v>6.1630361701667503E-2</v>
      </c>
    </row>
    <row r="100" spans="1:22" ht="15.75" customHeight="1" x14ac:dyDescent="0.3">
      <c r="A100" s="19" t="s">
        <v>136</v>
      </c>
      <c r="B100" s="251" t="s">
        <v>135</v>
      </c>
      <c r="C100" s="117">
        <v>-0.16453736644290001</v>
      </c>
      <c r="D100" s="252">
        <v>-0.11064564391668499</v>
      </c>
      <c r="E100" s="253">
        <v>-0.14817300208582701</v>
      </c>
      <c r="F100" s="183">
        <v>-0.192164149169853</v>
      </c>
      <c r="G100" s="254">
        <v>-0.108252907074284</v>
      </c>
      <c r="H100" s="255">
        <v>-0.107664073576818</v>
      </c>
      <c r="I100" s="26">
        <f t="shared" si="0"/>
        <v>-0.13857285704439451</v>
      </c>
      <c r="J100" s="27">
        <f t="shared" si="1"/>
        <v>-1.800002945356449</v>
      </c>
      <c r="K100" s="20">
        <f t="shared" si="2"/>
        <v>-1.1960682994271974</v>
      </c>
      <c r="L100" s="28">
        <f t="shared" si="3"/>
        <v>-1.5578197116217556</v>
      </c>
      <c r="M100" s="29">
        <f t="shared" si="4"/>
        <v>-2.3205025728805762</v>
      </c>
      <c r="N100" s="30">
        <f t="shared" si="5"/>
        <v>-1.1448299414278678</v>
      </c>
      <c r="O100" s="31">
        <f t="shared" si="6"/>
        <v>-1.1370424900164438</v>
      </c>
      <c r="P100" s="26">
        <f t="shared" si="7"/>
        <v>-1.5260443267883819</v>
      </c>
      <c r="Q100" s="41">
        <v>3.5468876639185999E-2</v>
      </c>
      <c r="R100" s="6">
        <v>0.11507536903229899</v>
      </c>
      <c r="S100" s="6">
        <v>5.90377842706599E-2</v>
      </c>
      <c r="T100" s="41">
        <v>9.9540988899943193E-3</v>
      </c>
      <c r="U100" s="6">
        <v>0.125367672796737</v>
      </c>
      <c r="V100" s="6">
        <v>0.12698651544547099</v>
      </c>
    </row>
    <row r="101" spans="1:22" ht="15.75" customHeight="1" x14ac:dyDescent="0.3">
      <c r="A101" s="19" t="s">
        <v>137</v>
      </c>
      <c r="B101" s="251" t="s">
        <v>135</v>
      </c>
      <c r="C101" s="118">
        <v>-0.10467093183911</v>
      </c>
      <c r="D101" s="256">
        <v>-0.11648718412346599</v>
      </c>
      <c r="E101" s="257">
        <v>-0.16221783640675899</v>
      </c>
      <c r="F101" s="63">
        <v>-0.15144186365241299</v>
      </c>
      <c r="G101" s="258">
        <v>-0.201422343709494</v>
      </c>
      <c r="H101" s="235">
        <v>-7.3255967588350901E-2</v>
      </c>
      <c r="I101" s="26">
        <f t="shared" si="0"/>
        <v>-0.13491602121993215</v>
      </c>
      <c r="J101" s="27">
        <f t="shared" si="1"/>
        <v>-1.0093003011491934</v>
      </c>
      <c r="K101" s="20">
        <f t="shared" si="2"/>
        <v>-1.2697608951075958</v>
      </c>
      <c r="L101" s="28">
        <f t="shared" si="3"/>
        <v>-1.749391981020004</v>
      </c>
      <c r="M101" s="29">
        <f t="shared" si="4"/>
        <v>-1.8158575252196494</v>
      </c>
      <c r="N101" s="30">
        <f t="shared" si="5"/>
        <v>-2.3273218906503725</v>
      </c>
      <c r="O101" s="31">
        <f t="shared" si="6"/>
        <v>-0.70029725068079896</v>
      </c>
      <c r="P101" s="26">
        <f t="shared" si="7"/>
        <v>-1.4786549739712689</v>
      </c>
      <c r="Q101" s="6">
        <v>0.15562723162303699</v>
      </c>
      <c r="R101" s="6">
        <v>0.101348776627776</v>
      </c>
      <c r="S101" s="41">
        <v>3.9621133188035902E-2</v>
      </c>
      <c r="T101" s="41">
        <v>3.4244032317725097E-2</v>
      </c>
      <c r="U101" s="41">
        <v>9.7739273810185795E-3</v>
      </c>
      <c r="V101" s="6">
        <v>0.241158117779875</v>
      </c>
    </row>
    <row r="102" spans="1:22" ht="15.75" customHeight="1" x14ac:dyDescent="0.3">
      <c r="A102" s="19" t="s">
        <v>138</v>
      </c>
      <c r="B102" s="251" t="s">
        <v>135</v>
      </c>
      <c r="C102" s="239">
        <v>-6.27262961294488E-2</v>
      </c>
      <c r="D102" s="259">
        <v>-4.12344014596343E-2</v>
      </c>
      <c r="E102" s="186">
        <v>1.00654645966675E-2</v>
      </c>
      <c r="F102" s="260">
        <v>-9.6363565037812196E-2</v>
      </c>
      <c r="G102" s="186">
        <v>-0.111153574466414</v>
      </c>
      <c r="H102" s="261">
        <v>-4.7172403371286503E-2</v>
      </c>
      <c r="I102" s="26">
        <f t="shared" si="0"/>
        <v>-5.8097462644654707E-2</v>
      </c>
      <c r="J102" s="27">
        <f t="shared" si="1"/>
        <v>-0.4553048179466655</v>
      </c>
      <c r="K102" s="20">
        <f t="shared" si="2"/>
        <v>-0.32042686840121409</v>
      </c>
      <c r="L102" s="28">
        <f t="shared" si="3"/>
        <v>0.60056119026509946</v>
      </c>
      <c r="M102" s="29">
        <f t="shared" si="4"/>
        <v>-1.1333076566091489</v>
      </c>
      <c r="N102" s="30">
        <f t="shared" si="5"/>
        <v>-1.1816447592741497</v>
      </c>
      <c r="O102" s="31">
        <f t="shared" si="6"/>
        <v>-0.3692161821521569</v>
      </c>
      <c r="P102" s="26">
        <f t="shared" si="7"/>
        <v>-0.47655651568637253</v>
      </c>
      <c r="Q102" s="6">
        <v>0.323910882470684</v>
      </c>
      <c r="R102" s="6">
        <v>0.37392624664438101</v>
      </c>
      <c r="S102" s="6">
        <v>0.27341382350069798</v>
      </c>
      <c r="T102" s="6">
        <v>0.127768046640959</v>
      </c>
      <c r="U102" s="6">
        <v>0.11790989661885</v>
      </c>
      <c r="V102" s="6">
        <v>0.35553448689602501</v>
      </c>
    </row>
    <row r="103" spans="1:22" ht="15.75" customHeight="1" x14ac:dyDescent="0.3">
      <c r="A103" s="19" t="s">
        <v>139</v>
      </c>
      <c r="B103" s="19" t="s">
        <v>135</v>
      </c>
      <c r="C103" s="46">
        <v>-6.3717714791677094E-2</v>
      </c>
      <c r="D103" s="101">
        <v>-5.26087444986321E-2</v>
      </c>
      <c r="E103" s="240">
        <v>-2.2678151417904E-2</v>
      </c>
      <c r="F103" s="129">
        <v>-8.3159103793363998E-2</v>
      </c>
      <c r="G103" s="241">
        <v>-3.3935347315586201E-2</v>
      </c>
      <c r="H103" s="262">
        <v>-3.2666959406516302E-2</v>
      </c>
      <c r="I103" s="26">
        <f t="shared" si="0"/>
        <v>-4.8127670203946614E-2</v>
      </c>
      <c r="J103" s="27">
        <f t="shared" si="1"/>
        <v>-0.46839925664054261</v>
      </c>
      <c r="K103" s="20">
        <f t="shared" si="2"/>
        <v>-0.46391725501706066</v>
      </c>
      <c r="L103" s="28">
        <f t="shared" si="3"/>
        <v>0.15393656765438193</v>
      </c>
      <c r="M103" s="29">
        <f t="shared" si="4"/>
        <v>-0.96967327584268537</v>
      </c>
      <c r="N103" s="30">
        <f t="shared" si="5"/>
        <v>-0.20160307139105216</v>
      </c>
      <c r="O103" s="31">
        <f t="shared" si="6"/>
        <v>-0.18509725394998344</v>
      </c>
      <c r="P103" s="26">
        <f t="shared" si="7"/>
        <v>-0.35579225753115712</v>
      </c>
      <c r="Q103" s="6">
        <v>0.31920341515630402</v>
      </c>
      <c r="R103" s="6">
        <v>0.320811471138156</v>
      </c>
      <c r="S103" s="6">
        <v>0.43863187777052398</v>
      </c>
      <c r="T103" s="6">
        <v>0.16531716468496299</v>
      </c>
      <c r="U103" s="6">
        <v>0.41985640934882001</v>
      </c>
      <c r="V103" s="6">
        <v>0.42633955860568401</v>
      </c>
    </row>
    <row r="104" spans="1:22" ht="15.75" customHeight="1" x14ac:dyDescent="0.3">
      <c r="A104" s="19" t="s">
        <v>140</v>
      </c>
      <c r="B104" s="19" t="s">
        <v>135</v>
      </c>
      <c r="C104" s="45">
        <v>-0.103374461280812</v>
      </c>
      <c r="D104" s="203">
        <v>-7.6135261331434501E-2</v>
      </c>
      <c r="E104" s="184">
        <v>-0.121803470980745</v>
      </c>
      <c r="F104" s="255">
        <v>-4.7653774669402703E-2</v>
      </c>
      <c r="G104" s="194">
        <v>-5.2654320886130597E-2</v>
      </c>
      <c r="H104" s="241">
        <v>-3.1557020503662499E-2</v>
      </c>
      <c r="I104" s="26">
        <f t="shared" si="0"/>
        <v>-7.2196384942031219E-2</v>
      </c>
      <c r="J104" s="27">
        <f t="shared" si="1"/>
        <v>-0.99217680439566891</v>
      </c>
      <c r="K104" s="20">
        <f t="shared" si="2"/>
        <v>-0.76071057173774959</v>
      </c>
      <c r="L104" s="28">
        <f t="shared" si="3"/>
        <v>-1.1981379381429889</v>
      </c>
      <c r="M104" s="29">
        <f t="shared" si="4"/>
        <v>-0.52967860755952056</v>
      </c>
      <c r="N104" s="30">
        <f t="shared" si="5"/>
        <v>-0.43918136255904294</v>
      </c>
      <c r="O104" s="31">
        <f t="shared" si="6"/>
        <v>-0.17100869784238168</v>
      </c>
      <c r="P104" s="26">
        <f t="shared" si="7"/>
        <v>-0.68181566370622537</v>
      </c>
      <c r="Q104" s="6">
        <v>0.15976749282071101</v>
      </c>
      <c r="R104" s="6">
        <v>0.222674298954255</v>
      </c>
      <c r="S104" s="6">
        <v>0.11467265081821899</v>
      </c>
      <c r="T104" s="6">
        <v>0.29756846756900501</v>
      </c>
      <c r="U104" s="6">
        <v>0.32974613939299402</v>
      </c>
      <c r="V104" s="6">
        <v>0.43188911811893599</v>
      </c>
    </row>
    <row r="105" spans="1:22" ht="15.75" customHeight="1" x14ac:dyDescent="0.3">
      <c r="A105" s="19" t="s">
        <v>141</v>
      </c>
      <c r="B105" s="19" t="s">
        <v>135</v>
      </c>
      <c r="C105" s="200">
        <v>-1.19160896902448E-2</v>
      </c>
      <c r="D105" s="214">
        <v>3.5392861252852702E-2</v>
      </c>
      <c r="E105" s="95">
        <v>5.5067454566652303E-2</v>
      </c>
      <c r="F105" s="166">
        <v>1.4449843248123701E-2</v>
      </c>
      <c r="G105" s="132">
        <v>9.9202824810839599E-3</v>
      </c>
      <c r="H105" s="150">
        <v>1.1654358479964801E-2</v>
      </c>
      <c r="I105" s="26">
        <f t="shared" si="0"/>
        <v>1.9094785056405442E-2</v>
      </c>
      <c r="J105" s="27">
        <f t="shared" si="1"/>
        <v>0.21578516511458884</v>
      </c>
      <c r="K105" s="20">
        <f t="shared" si="2"/>
        <v>0.64624659258292039</v>
      </c>
      <c r="L105" s="28">
        <f t="shared" si="3"/>
        <v>1.2143906701286351</v>
      </c>
      <c r="M105" s="29">
        <f t="shared" si="4"/>
        <v>0.23993151686446565</v>
      </c>
      <c r="N105" s="30">
        <f t="shared" si="5"/>
        <v>0.3550057376295539</v>
      </c>
      <c r="O105" s="31">
        <f t="shared" si="6"/>
        <v>0.37747729155073395</v>
      </c>
      <c r="P105" s="26">
        <f t="shared" si="7"/>
        <v>0.5081394956451496</v>
      </c>
      <c r="Q105" s="6">
        <v>0.41430322257192598</v>
      </c>
      <c r="R105" s="6">
        <v>0.258377661627196</v>
      </c>
      <c r="S105" s="6">
        <v>0.111544966042239</v>
      </c>
      <c r="T105" s="6">
        <v>0.40488826597294902</v>
      </c>
      <c r="U105" s="6">
        <v>0.36085887606774197</v>
      </c>
      <c r="V105" s="6">
        <v>0.35245203353292698</v>
      </c>
    </row>
    <row r="106" spans="1:22" ht="15.75" customHeight="1" x14ac:dyDescent="0.3">
      <c r="A106" s="19" t="s">
        <v>142</v>
      </c>
      <c r="B106" s="19" t="s">
        <v>135</v>
      </c>
      <c r="C106" s="131">
        <v>-8.3418983079548703E-2</v>
      </c>
      <c r="D106" s="263">
        <v>-3.6916763943160201E-2</v>
      </c>
      <c r="E106" s="262">
        <v>-4.3386479355544197E-2</v>
      </c>
      <c r="F106" s="165">
        <v>-7.4068952501697496E-3</v>
      </c>
      <c r="G106" s="56">
        <v>8.9945300879351493E-3</v>
      </c>
      <c r="H106" s="86">
        <v>1.3087188700012501E-2</v>
      </c>
      <c r="I106" s="26">
        <f t="shared" si="0"/>
        <v>-2.4841233806745869E-2</v>
      </c>
      <c r="J106" s="27">
        <f t="shared" si="1"/>
        <v>-0.72860925632658424</v>
      </c>
      <c r="K106" s="20">
        <f t="shared" si="2"/>
        <v>-0.2659587136795028</v>
      </c>
      <c r="L106" s="28">
        <f t="shared" si="3"/>
        <v>-0.12852610066947168</v>
      </c>
      <c r="M106" s="29">
        <f t="shared" si="4"/>
        <v>-3.0924961376667771E-2</v>
      </c>
      <c r="N106" s="30">
        <f t="shared" si="5"/>
        <v>0.34325623273388689</v>
      </c>
      <c r="O106" s="31">
        <f t="shared" si="6"/>
        <v>0.3956643367078207</v>
      </c>
      <c r="P106" s="26">
        <f t="shared" si="7"/>
        <v>-6.9183077101753171E-2</v>
      </c>
      <c r="Q106" s="6">
        <v>0.23239371338995099</v>
      </c>
      <c r="R106" s="6">
        <v>0.39480139630622502</v>
      </c>
      <c r="S106" s="6">
        <v>0.44870041179792802</v>
      </c>
      <c r="T106" s="6">
        <v>0.48762445864992798</v>
      </c>
      <c r="U106" s="6">
        <v>0.36528170829982598</v>
      </c>
      <c r="V106" s="6">
        <v>0.34570022969437603</v>
      </c>
    </row>
    <row r="107" spans="1:22" ht="15.75" customHeight="1" x14ac:dyDescent="0.3">
      <c r="A107" s="19" t="s">
        <v>143</v>
      </c>
      <c r="B107" s="19" t="s">
        <v>135</v>
      </c>
      <c r="C107" s="61">
        <v>-8.5706872300075704E-2</v>
      </c>
      <c r="D107" s="140">
        <v>-3.1991543768815002E-2</v>
      </c>
      <c r="E107" s="159">
        <v>-4.3620559927559699E-2</v>
      </c>
      <c r="F107" s="148">
        <v>6.6050739601320801E-3</v>
      </c>
      <c r="G107" s="154">
        <v>2.1216008700108702E-2</v>
      </c>
      <c r="H107" s="200">
        <v>1.35804948790586E-2</v>
      </c>
      <c r="I107" s="26">
        <f t="shared" si="0"/>
        <v>-1.9986233076191837E-2</v>
      </c>
      <c r="J107" s="27">
        <f t="shared" si="1"/>
        <v>-0.75882719177399516</v>
      </c>
      <c r="K107" s="20">
        <f t="shared" si="2"/>
        <v>-0.20382574085092622</v>
      </c>
      <c r="L107" s="28">
        <f t="shared" si="3"/>
        <v>-0.13171897182610873</v>
      </c>
      <c r="M107" s="29">
        <f t="shared" si="4"/>
        <v>0.1427163453453702</v>
      </c>
      <c r="N107" s="30">
        <f t="shared" si="5"/>
        <v>0.49836933192621063</v>
      </c>
      <c r="O107" s="31">
        <f t="shared" si="6"/>
        <v>0.40192591720008763</v>
      </c>
      <c r="P107" s="26">
        <f t="shared" si="7"/>
        <v>-8.5600516632269395E-3</v>
      </c>
      <c r="Q107" s="6">
        <v>0.22323806042001201</v>
      </c>
      <c r="R107" s="6">
        <v>0.41898500860778398</v>
      </c>
      <c r="S107" s="6">
        <v>0.44743332845615302</v>
      </c>
      <c r="T107" s="6">
        <v>0.44307323091039003</v>
      </c>
      <c r="U107" s="6">
        <v>0.30853918029259297</v>
      </c>
      <c r="V107" s="6">
        <v>0.343386845325579</v>
      </c>
    </row>
    <row r="108" spans="1:22" ht="15.75" customHeight="1" x14ac:dyDescent="0.3">
      <c r="A108" s="19" t="s">
        <v>144</v>
      </c>
      <c r="B108" s="19" t="s">
        <v>135</v>
      </c>
      <c r="C108" s="264">
        <v>-9.3078959788440496E-2</v>
      </c>
      <c r="D108" s="265">
        <v>-2.23129134262063E-2</v>
      </c>
      <c r="E108" s="57">
        <v>1.0561289808300499E-2</v>
      </c>
      <c r="F108" s="174">
        <v>6.4341893518652493E-2</v>
      </c>
      <c r="G108" s="64">
        <v>6.7358770785967302E-3</v>
      </c>
      <c r="H108" s="95">
        <v>2.5789822810450499E-2</v>
      </c>
      <c r="I108" s="26">
        <f t="shared" si="0"/>
        <v>-1.3271649997744293E-3</v>
      </c>
      <c r="J108" s="27">
        <f t="shared" si="1"/>
        <v>-0.85619609488231951</v>
      </c>
      <c r="K108" s="20">
        <f t="shared" si="2"/>
        <v>-8.1727224478489374E-2</v>
      </c>
      <c r="L108" s="28">
        <f t="shared" si="3"/>
        <v>0.60732427189688742</v>
      </c>
      <c r="M108" s="29">
        <f t="shared" si="4"/>
        <v>0.8582115511687668</v>
      </c>
      <c r="N108" s="30">
        <f t="shared" si="5"/>
        <v>0.31458976123758381</v>
      </c>
      <c r="O108" s="31">
        <f t="shared" si="6"/>
        <v>0.55690003438370805</v>
      </c>
      <c r="P108" s="26">
        <f t="shared" si="7"/>
        <v>0.23318371655435621</v>
      </c>
      <c r="Q108" s="6">
        <v>0.19517313676442199</v>
      </c>
      <c r="R108" s="6">
        <v>0.467325793272929</v>
      </c>
      <c r="S108" s="6">
        <v>0.27116089517553599</v>
      </c>
      <c r="T108" s="6">
        <v>0.19461582814685</v>
      </c>
      <c r="U108" s="6">
        <v>0.37614693592475901</v>
      </c>
      <c r="V108" s="6">
        <v>0.28817743597421702</v>
      </c>
    </row>
    <row r="109" spans="1:22" ht="15.75" customHeight="1" x14ac:dyDescent="0.3">
      <c r="A109" s="19" t="s">
        <v>145</v>
      </c>
      <c r="B109" s="19" t="s">
        <v>135</v>
      </c>
      <c r="C109" s="27">
        <v>-9.8671577883062106E-2</v>
      </c>
      <c r="D109" s="69">
        <v>-4.1010527815345801E-3</v>
      </c>
      <c r="E109" s="152">
        <v>-3.6129981623062898E-2</v>
      </c>
      <c r="F109" s="29">
        <v>3.5442207022404901E-2</v>
      </c>
      <c r="G109" s="91">
        <v>4.3957241054406501E-2</v>
      </c>
      <c r="H109" s="126">
        <v>3.0599558056150299E-2</v>
      </c>
      <c r="I109" s="26">
        <f t="shared" si="0"/>
        <v>-4.8172676924496498E-3</v>
      </c>
      <c r="J109" s="27">
        <f t="shared" si="1"/>
        <v>-0.93006215930932479</v>
      </c>
      <c r="K109" s="20">
        <f t="shared" si="2"/>
        <v>0.14802027970159537</v>
      </c>
      <c r="L109" s="28">
        <f t="shared" si="3"/>
        <v>-2.9547094813712961E-2</v>
      </c>
      <c r="M109" s="29">
        <f t="shared" si="4"/>
        <v>0.50007635605456258</v>
      </c>
      <c r="N109" s="30">
        <f t="shared" si="5"/>
        <v>0.78699750384104328</v>
      </c>
      <c r="O109" s="31">
        <f t="shared" si="6"/>
        <v>0.61795044418331557</v>
      </c>
      <c r="P109" s="26">
        <f t="shared" si="7"/>
        <v>0.18223922160957984</v>
      </c>
      <c r="Q109" s="6">
        <v>0.17538504001757099</v>
      </c>
      <c r="R109" s="6">
        <v>0.44097282315035902</v>
      </c>
      <c r="S109" s="6">
        <v>0.48817568760233399</v>
      </c>
      <c r="T109" s="6">
        <v>0.307936492446993</v>
      </c>
      <c r="U109" s="6">
        <v>0.21489086852273001</v>
      </c>
      <c r="V109" s="6">
        <v>0.26763988797461802</v>
      </c>
    </row>
    <row r="110" spans="1:22" ht="15.75" customHeight="1" x14ac:dyDescent="0.3">
      <c r="A110" s="19" t="s">
        <v>146</v>
      </c>
      <c r="B110" s="19" t="s">
        <v>135</v>
      </c>
      <c r="C110" s="27">
        <v>-6.6158129960239301E-2</v>
      </c>
      <c r="D110" s="29">
        <v>-1.6414103217397599E-2</v>
      </c>
      <c r="E110" s="61">
        <v>-5.26716753788267E-2</v>
      </c>
      <c r="F110" s="53">
        <v>1.80523523774768E-2</v>
      </c>
      <c r="G110" s="150">
        <v>6.1129192015815098E-2</v>
      </c>
      <c r="H110" s="21">
        <v>3.0969537690434899E-2</v>
      </c>
      <c r="I110" s="26">
        <f t="shared" si="0"/>
        <v>-4.1821377454561342E-3</v>
      </c>
      <c r="J110" s="27">
        <f t="shared" si="1"/>
        <v>-0.50063172111778187</v>
      </c>
      <c r="K110" s="20">
        <f t="shared" si="2"/>
        <v>-7.3121523698463772E-3</v>
      </c>
      <c r="L110" s="28">
        <f t="shared" si="3"/>
        <v>-0.25517665654942073</v>
      </c>
      <c r="M110" s="29">
        <f t="shared" si="4"/>
        <v>0.28457509146203419</v>
      </c>
      <c r="N110" s="30">
        <f t="shared" si="5"/>
        <v>1.0049412254910197</v>
      </c>
      <c r="O110" s="31">
        <f t="shared" si="6"/>
        <v>0.62264662955251615</v>
      </c>
      <c r="P110" s="26">
        <f t="shared" si="7"/>
        <v>0.19150706941142018</v>
      </c>
      <c r="Q110" s="6">
        <v>0.307740524867681</v>
      </c>
      <c r="R110" s="6">
        <v>0.497073381941598</v>
      </c>
      <c r="S110" s="6">
        <v>0.398971863225562</v>
      </c>
      <c r="T110" s="6">
        <v>0.387629188384781</v>
      </c>
      <c r="U110" s="6">
        <v>0.15667442965618</v>
      </c>
      <c r="V110" s="6">
        <v>0.26609117191416598</v>
      </c>
    </row>
    <row r="111" spans="1:22" ht="15.75" customHeight="1" x14ac:dyDescent="0.3">
      <c r="A111" s="19" t="s">
        <v>147</v>
      </c>
      <c r="B111" s="19" t="s">
        <v>135</v>
      </c>
      <c r="C111" s="199">
        <v>-4.7194070421204298E-2</v>
      </c>
      <c r="D111" s="74">
        <v>-1.9793033337006501E-2</v>
      </c>
      <c r="E111" s="122">
        <v>-4.9550601085286403E-2</v>
      </c>
      <c r="F111" s="113">
        <v>1.4756923742180099E-3</v>
      </c>
      <c r="G111" s="42">
        <v>-9.4150389607821506E-3</v>
      </c>
      <c r="H111" s="32">
        <v>3.3929374764711799E-2</v>
      </c>
      <c r="I111" s="26">
        <f t="shared" si="0"/>
        <v>-1.5091279444224925E-2</v>
      </c>
      <c r="J111" s="27">
        <f t="shared" si="1"/>
        <v>-0.25015861174257437</v>
      </c>
      <c r="K111" s="20">
        <f t="shared" si="2"/>
        <v>-4.9938261635962704E-2</v>
      </c>
      <c r="L111" s="28">
        <f t="shared" si="3"/>
        <v>-0.21260504112758966</v>
      </c>
      <c r="M111" s="29">
        <f t="shared" si="4"/>
        <v>7.9151224134624054E-2</v>
      </c>
      <c r="N111" s="30">
        <f t="shared" si="5"/>
        <v>0.10960485546949815</v>
      </c>
      <c r="O111" s="31">
        <f t="shared" si="6"/>
        <v>0.66021611250612211</v>
      </c>
      <c r="P111" s="26">
        <f t="shared" si="7"/>
        <v>5.604504626735294E-2</v>
      </c>
      <c r="Q111" s="6">
        <v>0.40091679927889201</v>
      </c>
      <c r="R111" s="6">
        <v>0.48002087461808601</v>
      </c>
      <c r="S111" s="6">
        <v>0.41554699480375101</v>
      </c>
      <c r="T111" s="6">
        <v>0.46835346942766198</v>
      </c>
      <c r="U111" s="6">
        <v>0.456219574279072</v>
      </c>
      <c r="V111" s="6">
        <v>0.25386700893121</v>
      </c>
    </row>
    <row r="112" spans="1:22" ht="15.75" customHeight="1" x14ac:dyDescent="0.3">
      <c r="A112" s="19" t="s">
        <v>148</v>
      </c>
      <c r="B112" s="19" t="s">
        <v>135</v>
      </c>
      <c r="C112" s="26">
        <v>-0.11557653712362199</v>
      </c>
      <c r="D112" s="95">
        <v>-3.8004893981678403E-2</v>
      </c>
      <c r="E112" s="174">
        <v>-6.0942522256708598E-2</v>
      </c>
      <c r="F112" s="174">
        <v>1.7551924905680302E-2</v>
      </c>
      <c r="G112" s="87">
        <v>1.30941400021452E-2</v>
      </c>
      <c r="H112" s="129">
        <v>6.8288150135275005E-2</v>
      </c>
      <c r="I112" s="26">
        <f t="shared" si="0"/>
        <v>-1.9264956386484747E-2</v>
      </c>
      <c r="J112" s="27">
        <f t="shared" si="1"/>
        <v>-1.1533391267818518</v>
      </c>
      <c r="K112" s="20">
        <f t="shared" si="2"/>
        <v>-0.27968576581604976</v>
      </c>
      <c r="L112" s="28">
        <f t="shared" si="3"/>
        <v>-0.36799143741727458</v>
      </c>
      <c r="M112" s="29">
        <f t="shared" si="4"/>
        <v>0.27837361622196133</v>
      </c>
      <c r="N112" s="30">
        <f t="shared" si="5"/>
        <v>0.39528784195662764</v>
      </c>
      <c r="O112" s="31">
        <f t="shared" si="6"/>
        <v>1.0963351937925494</v>
      </c>
      <c r="P112" s="26">
        <f t="shared" si="7"/>
        <v>-5.1699463406729151E-3</v>
      </c>
      <c r="Q112" s="6">
        <v>0.12361533046916801</v>
      </c>
      <c r="R112" s="6">
        <v>0.38950926656676699</v>
      </c>
      <c r="S112" s="6">
        <v>0.35599228491246598</v>
      </c>
      <c r="T112" s="6">
        <v>0.39001426609895301</v>
      </c>
      <c r="U112" s="6">
        <v>0.34583951315257799</v>
      </c>
      <c r="V112" s="6">
        <v>0.13568519945336299</v>
      </c>
    </row>
    <row r="113" spans="1:22" ht="15.75" customHeight="1" x14ac:dyDescent="0.3">
      <c r="A113" s="19" t="s">
        <v>149</v>
      </c>
      <c r="B113" s="19" t="s">
        <v>135</v>
      </c>
      <c r="C113" s="95">
        <v>-8.7613446650514806E-2</v>
      </c>
      <c r="D113" s="243">
        <v>-1.0084726720620699E-3</v>
      </c>
      <c r="E113" s="92">
        <v>-1.38143004242495E-2</v>
      </c>
      <c r="F113" s="266">
        <v>1.9553634792866301E-2</v>
      </c>
      <c r="G113" s="101">
        <v>3.1813113572689698E-2</v>
      </c>
      <c r="H113" s="143">
        <v>8.5159221458652706E-2</v>
      </c>
      <c r="I113" s="26">
        <f t="shared" si="0"/>
        <v>5.681625012897055E-3</v>
      </c>
      <c r="J113" s="27">
        <f t="shared" si="1"/>
        <v>-0.78400880464683675</v>
      </c>
      <c r="K113" s="20">
        <f t="shared" si="2"/>
        <v>0.18703400682651489</v>
      </c>
      <c r="L113" s="28">
        <f t="shared" si="3"/>
        <v>0.27483995545238299</v>
      </c>
      <c r="M113" s="29">
        <f t="shared" si="4"/>
        <v>0.30317951718225278</v>
      </c>
      <c r="N113" s="30">
        <f t="shared" si="5"/>
        <v>0.63286613312461981</v>
      </c>
      <c r="O113" s="31">
        <f t="shared" si="6"/>
        <v>1.3104812466280951</v>
      </c>
      <c r="P113" s="26">
        <f t="shared" si="7"/>
        <v>0.32073200909450478</v>
      </c>
      <c r="Q113" s="6">
        <v>0.21576776434164099</v>
      </c>
      <c r="R113" s="6">
        <v>0.42557777435333799</v>
      </c>
      <c r="S113" s="6">
        <v>0.39137516713759402</v>
      </c>
      <c r="T113" s="6">
        <v>0.38049969001122103</v>
      </c>
      <c r="U113" s="6">
        <v>0.26273672366683898</v>
      </c>
      <c r="V113" s="6">
        <v>9.4295810043504194E-2</v>
      </c>
    </row>
    <row r="114" spans="1:22" ht="15.75" customHeight="1" x14ac:dyDescent="0.3">
      <c r="A114" s="19" t="s">
        <v>150</v>
      </c>
      <c r="B114" s="19" t="s">
        <v>151</v>
      </c>
      <c r="C114" s="206">
        <v>-3.3021867749606498E-2</v>
      </c>
      <c r="D114" s="186">
        <v>2.3102198181418499E-2</v>
      </c>
      <c r="E114" s="95">
        <v>-4.9316520513270803E-2</v>
      </c>
      <c r="F114" s="82">
        <v>6.8095099557126199E-2</v>
      </c>
      <c r="G114" s="267">
        <v>-6.8820707151600796E-2</v>
      </c>
      <c r="H114" s="208">
        <v>-6.2203666876903603E-2</v>
      </c>
      <c r="I114" s="26">
        <f t="shared" si="0"/>
        <v>-2.0360910758806167E-2</v>
      </c>
      <c r="J114" s="27">
        <f t="shared" si="1"/>
        <v>-6.2975289387778813E-2</v>
      </c>
      <c r="K114" s="20">
        <f t="shared" si="2"/>
        <v>0.49119658311524456</v>
      </c>
      <c r="L114" s="28">
        <f t="shared" si="3"/>
        <v>-0.20941216997095127</v>
      </c>
      <c r="M114" s="29">
        <f t="shared" si="4"/>
        <v>0.90472261546931265</v>
      </c>
      <c r="N114" s="30">
        <f t="shared" si="5"/>
        <v>-0.64436261402230832</v>
      </c>
      <c r="O114" s="31">
        <f t="shared" si="6"/>
        <v>-0.56000938592449712</v>
      </c>
      <c r="P114" s="26">
        <f t="shared" si="7"/>
        <v>-1.347337678682973E-2</v>
      </c>
      <c r="Q114" s="6">
        <v>0.47481128440131298</v>
      </c>
      <c r="R114" s="6">
        <v>0.311077242852698</v>
      </c>
      <c r="S114" s="6">
        <v>0.41679660434920401</v>
      </c>
      <c r="T114" s="6">
        <v>0.18202513395942499</v>
      </c>
      <c r="U114" s="6">
        <v>0.258989146329068</v>
      </c>
      <c r="V114" s="6">
        <v>0.28711371011597397</v>
      </c>
    </row>
    <row r="115" spans="1:22" ht="15.75" customHeight="1" x14ac:dyDescent="0.3">
      <c r="A115" s="19" t="s">
        <v>152</v>
      </c>
      <c r="B115" s="19" t="s">
        <v>151</v>
      </c>
      <c r="C115" s="124">
        <v>-8.5795845769759795E-4</v>
      </c>
      <c r="D115" s="101">
        <v>5.9703977113428799E-2</v>
      </c>
      <c r="E115" s="175">
        <v>4.2310063391806298E-2</v>
      </c>
      <c r="F115" s="137">
        <v>6.0238956917502903E-2</v>
      </c>
      <c r="G115" s="225">
        <v>1.8506257961788199E-2</v>
      </c>
      <c r="H115" s="31">
        <v>4.5137515382721198E-2</v>
      </c>
      <c r="I115" s="26">
        <f t="shared" si="0"/>
        <v>3.7506468718258301E-2</v>
      </c>
      <c r="J115" s="27">
        <f t="shared" si="1"/>
        <v>0.36183851977707554</v>
      </c>
      <c r="K115" s="20">
        <f t="shared" si="2"/>
        <v>0.95293783637048846</v>
      </c>
      <c r="L115" s="28">
        <f t="shared" si="3"/>
        <v>1.0403791920919001</v>
      </c>
      <c r="M115" s="29">
        <f t="shared" si="4"/>
        <v>0.80736650133112542</v>
      </c>
      <c r="N115" s="30">
        <f t="shared" si="5"/>
        <v>0.46397759845454128</v>
      </c>
      <c r="O115" s="31">
        <f t="shared" si="6"/>
        <v>0.80248206746338757</v>
      </c>
      <c r="P115" s="26">
        <f t="shared" si="7"/>
        <v>0.73816361924808638</v>
      </c>
      <c r="Q115" s="6">
        <v>0.35829531842154799</v>
      </c>
      <c r="R115" s="6">
        <v>0.16952425988634401</v>
      </c>
      <c r="S115" s="6">
        <v>0.14829507737066699</v>
      </c>
      <c r="T115" s="6">
        <v>0.208969899132256</v>
      </c>
      <c r="U115" s="6">
        <v>0.32078979864243801</v>
      </c>
      <c r="V115" s="6">
        <v>0.210380905186836</v>
      </c>
    </row>
    <row r="116" spans="1:22" ht="15.75" customHeight="1" x14ac:dyDescent="0.3">
      <c r="A116" s="19" t="s">
        <v>153</v>
      </c>
      <c r="B116" s="251" t="s">
        <v>154</v>
      </c>
      <c r="C116" s="63">
        <v>-1.86844286343038E-2</v>
      </c>
      <c r="D116" s="163">
        <v>-0.15437129046450501</v>
      </c>
      <c r="E116" s="146">
        <v>-0.126403508888383</v>
      </c>
      <c r="F116" s="27">
        <v>-0.17471174109095</v>
      </c>
      <c r="G116" s="268">
        <v>-0.17856508465951099</v>
      </c>
      <c r="H116" s="250">
        <v>-0.114508696811083</v>
      </c>
      <c r="I116" s="26">
        <f t="shared" si="0"/>
        <v>-0.12787412509145596</v>
      </c>
      <c r="J116" s="27">
        <f t="shared" si="1"/>
        <v>0.12639043941599865</v>
      </c>
      <c r="K116" s="20">
        <f t="shared" si="2"/>
        <v>-1.7476790523878689</v>
      </c>
      <c r="L116" s="28">
        <f t="shared" si="3"/>
        <v>-1.2608826940544779</v>
      </c>
      <c r="M116" s="29">
        <f t="shared" si="4"/>
        <v>-2.1042261238830342</v>
      </c>
      <c r="N116" s="30">
        <f t="shared" si="5"/>
        <v>-2.0372211260216884</v>
      </c>
      <c r="O116" s="31">
        <f t="shared" si="6"/>
        <v>-1.2239219193466533</v>
      </c>
      <c r="P116" s="26">
        <f t="shared" si="7"/>
        <v>-1.3745900793796206</v>
      </c>
      <c r="Q116" s="6">
        <v>0.449548236861812</v>
      </c>
      <c r="R116" s="41">
        <v>3.9768304786870302E-2</v>
      </c>
      <c r="S116" s="6">
        <v>0.102936288618264</v>
      </c>
      <c r="T116" s="41">
        <v>1.7382224800448001E-2</v>
      </c>
      <c r="U116" s="41">
        <v>2.0483301093214699E-2</v>
      </c>
      <c r="V116" s="6">
        <v>0.109739410856771</v>
      </c>
    </row>
    <row r="117" spans="1:22" ht="15.75" customHeight="1" x14ac:dyDescent="0.3">
      <c r="A117" s="19" t="s">
        <v>155</v>
      </c>
      <c r="B117" s="19" t="s">
        <v>154</v>
      </c>
      <c r="C117" s="38">
        <v>-8.3164773166156794E-2</v>
      </c>
      <c r="D117" s="198">
        <v>-4.3577265178934099E-4</v>
      </c>
      <c r="E117" s="77">
        <v>4.2677144288830599E-2</v>
      </c>
      <c r="F117" s="58">
        <v>-2.0949713705662301E-2</v>
      </c>
      <c r="G117" s="42">
        <v>-5.2228889668618203E-2</v>
      </c>
      <c r="H117" s="22">
        <v>-1.9840998751316799E-2</v>
      </c>
      <c r="I117" s="26">
        <f t="shared" si="0"/>
        <v>-2.2323833942452142E-2</v>
      </c>
      <c r="J117" s="27">
        <f t="shared" si="1"/>
        <v>-0.72525170794353833</v>
      </c>
      <c r="K117" s="20">
        <f t="shared" si="2"/>
        <v>0.19425877110890791</v>
      </c>
      <c r="L117" s="28">
        <f t="shared" si="3"/>
        <v>1.0453861945875351</v>
      </c>
      <c r="M117" s="29">
        <f t="shared" si="4"/>
        <v>-0.19875238506113668</v>
      </c>
      <c r="N117" s="30">
        <f t="shared" si="5"/>
        <v>-0.43378185594158841</v>
      </c>
      <c r="O117" s="31">
        <f t="shared" si="6"/>
        <v>-2.2296161151029583E-2</v>
      </c>
      <c r="P117" s="26">
        <f t="shared" si="7"/>
        <v>-2.3406190733475E-2</v>
      </c>
      <c r="Q117" s="6">
        <v>0.233423744282092</v>
      </c>
      <c r="R117" s="6">
        <v>0.42273852556582298</v>
      </c>
      <c r="S117" s="6">
        <v>0.14713579644623601</v>
      </c>
      <c r="T117" s="6">
        <v>0.42097459984484198</v>
      </c>
      <c r="U117" s="6">
        <v>0.33170967101880999</v>
      </c>
      <c r="V117" s="6">
        <v>0.49107684187888201</v>
      </c>
    </row>
    <row r="118" spans="1:22" ht="15.75" customHeight="1" x14ac:dyDescent="0.3">
      <c r="A118" s="19" t="s">
        <v>156</v>
      </c>
      <c r="B118" s="81" t="s">
        <v>157</v>
      </c>
      <c r="C118" s="102">
        <v>2.5452767578363001E-2</v>
      </c>
      <c r="D118" s="101">
        <v>3.5135146243730001E-2</v>
      </c>
      <c r="E118" s="153">
        <v>3.0137873646998901E-2</v>
      </c>
      <c r="F118" s="84">
        <v>6.9246651409839793E-2</v>
      </c>
      <c r="G118" s="269">
        <v>7.1878537976976895E-2</v>
      </c>
      <c r="H118" s="43">
        <v>4.5137515382721198E-2</v>
      </c>
      <c r="I118" s="26">
        <f t="shared" si="0"/>
        <v>4.6164748706438302E-2</v>
      </c>
      <c r="J118" s="27">
        <f t="shared" si="1"/>
        <v>0.70934477742230273</v>
      </c>
      <c r="K118" s="20">
        <f t="shared" si="2"/>
        <v>0.64299544865584379</v>
      </c>
      <c r="L118" s="28">
        <f t="shared" si="3"/>
        <v>0.87434989194675539</v>
      </c>
      <c r="M118" s="29">
        <f t="shared" si="4"/>
        <v>0.91899305565243561</v>
      </c>
      <c r="N118" s="30">
        <f t="shared" si="5"/>
        <v>1.1413702468260869</v>
      </c>
      <c r="O118" s="31">
        <f t="shared" si="6"/>
        <v>0.80248206746338757</v>
      </c>
      <c r="P118" s="26">
        <f t="shared" si="7"/>
        <v>0.84825591466113526</v>
      </c>
      <c r="Q118" s="6">
        <v>0.23833794330942101</v>
      </c>
      <c r="R118" s="6">
        <v>0.25943335668192402</v>
      </c>
      <c r="S118" s="6">
        <v>0.190188304548501</v>
      </c>
      <c r="T118" s="6">
        <v>0.17826652825334499</v>
      </c>
      <c r="U118" s="6">
        <v>0.12608508133216401</v>
      </c>
      <c r="V118" s="6">
        <v>0.210380905186836</v>
      </c>
    </row>
    <row r="119" spans="1:22" ht="15.75" customHeight="1" x14ac:dyDescent="0.3">
      <c r="A119" s="19" t="s">
        <v>158</v>
      </c>
      <c r="B119" s="81" t="s">
        <v>159</v>
      </c>
      <c r="C119" s="270">
        <v>-0.37616711934164898</v>
      </c>
      <c r="D119" s="186">
        <v>-0.44498791575188601</v>
      </c>
      <c r="E119" s="186">
        <v>-0.35275942202739602</v>
      </c>
      <c r="F119" s="186">
        <v>-0.34379367312419101</v>
      </c>
      <c r="G119" s="271">
        <v>-0.34970446079517098</v>
      </c>
      <c r="H119" s="186">
        <v>-0.244186558627836</v>
      </c>
      <c r="I119" s="26">
        <f t="shared" si="0"/>
        <v>-0.35193319161135483</v>
      </c>
      <c r="J119" s="27">
        <f t="shared" si="1"/>
        <v>-4.5951619742419805</v>
      </c>
      <c r="K119" s="20">
        <f t="shared" si="2"/>
        <v>-5.4138856874880164</v>
      </c>
      <c r="L119" s="28">
        <f t="shared" si="3"/>
        <v>-4.348389102522817</v>
      </c>
      <c r="M119" s="29">
        <f t="shared" si="4"/>
        <v>-4.1995495706226347</v>
      </c>
      <c r="N119" s="30">
        <f t="shared" si="5"/>
        <v>-4.2092953789521959</v>
      </c>
      <c r="O119" s="31">
        <f t="shared" si="6"/>
        <v>-2.8699348912514648</v>
      </c>
      <c r="P119" s="26">
        <f t="shared" si="7"/>
        <v>-4.2727027675131843</v>
      </c>
      <c r="Q119" s="41">
        <v>2.0118502431333198E-6</v>
      </c>
      <c r="R119" s="41">
        <v>2.793343690548E-8</v>
      </c>
      <c r="S119" s="41">
        <v>6.4269843808621196E-6</v>
      </c>
      <c r="T119" s="41">
        <v>1.25860399668404E-5</v>
      </c>
      <c r="U119" s="41">
        <v>1.2052047978102799E-5</v>
      </c>
      <c r="V119" s="41">
        <v>1.9928045687326798E-3</v>
      </c>
    </row>
    <row r="120" spans="1:22" ht="15.75" customHeight="1" x14ac:dyDescent="0.3">
      <c r="A120" s="19" t="s">
        <v>160</v>
      </c>
      <c r="B120" s="81" t="s">
        <v>161</v>
      </c>
      <c r="C120" s="272">
        <v>6.9494635073507796E-2</v>
      </c>
      <c r="D120" s="273">
        <v>-2.22493957875942E-2</v>
      </c>
      <c r="E120" s="249">
        <v>-2.0540570194362302E-2</v>
      </c>
      <c r="F120" s="273">
        <v>-9.4768452471461501E-3</v>
      </c>
      <c r="G120" s="129">
        <v>9.8042557853987803E-3</v>
      </c>
      <c r="H120" s="274">
        <v>1.1099389028538E-2</v>
      </c>
      <c r="I120" s="26">
        <f t="shared" si="0"/>
        <v>6.3552447763903196E-3</v>
      </c>
      <c r="J120" s="27">
        <f t="shared" si="1"/>
        <v>1.2910400347849642</v>
      </c>
      <c r="K120" s="20">
        <f t="shared" si="2"/>
        <v>-8.0925932439896278E-2</v>
      </c>
      <c r="L120" s="28">
        <f t="shared" si="3"/>
        <v>0.18309328653476489</v>
      </c>
      <c r="M120" s="29">
        <f t="shared" si="4"/>
        <v>-5.6576518051514216E-2</v>
      </c>
      <c r="N120" s="30">
        <f t="shared" si="5"/>
        <v>0.35353314491570287</v>
      </c>
      <c r="O120" s="31">
        <f t="shared" si="6"/>
        <v>0.3704330134969343</v>
      </c>
      <c r="P120" s="26">
        <f t="shared" si="7"/>
        <v>0.34343283820682596</v>
      </c>
      <c r="Q120" s="6">
        <v>9.7616613048935E-2</v>
      </c>
      <c r="R120" s="6">
        <v>0.46764543975228001</v>
      </c>
      <c r="S120" s="6">
        <v>0.42712806976385698</v>
      </c>
      <c r="T120" s="6">
        <v>0.47736774783771402</v>
      </c>
      <c r="U120" s="6">
        <v>0.36141219525844598</v>
      </c>
      <c r="V120" s="6">
        <v>0.355079853133978</v>
      </c>
    </row>
    <row r="121" spans="1:22" ht="15.75" customHeight="1" x14ac:dyDescent="0.3">
      <c r="A121" s="19" t="s">
        <v>162</v>
      </c>
      <c r="B121" s="81" t="s">
        <v>163</v>
      </c>
      <c r="C121" s="183">
        <v>-3.77883036257044E-2</v>
      </c>
      <c r="D121" s="229">
        <v>-5.8679364713522697E-2</v>
      </c>
      <c r="E121" s="275">
        <v>-8.9344298327925606E-2</v>
      </c>
      <c r="F121" s="77">
        <v>-8.6818479680875804E-2</v>
      </c>
      <c r="G121" s="276">
        <v>-7.9727216546008894E-2</v>
      </c>
      <c r="H121" s="118">
        <v>-0.14563407440808099</v>
      </c>
      <c r="I121" s="26">
        <f t="shared" si="0"/>
        <v>-8.299862288368641E-2</v>
      </c>
      <c r="J121" s="27">
        <f t="shared" si="1"/>
        <v>-0.12592932156988476</v>
      </c>
      <c r="K121" s="20">
        <f t="shared" si="2"/>
        <v>-0.54049975641042258</v>
      </c>
      <c r="L121" s="28">
        <f t="shared" si="3"/>
        <v>-0.75539313775594152</v>
      </c>
      <c r="M121" s="29">
        <f t="shared" si="4"/>
        <v>-1.0150215635357169</v>
      </c>
      <c r="N121" s="30">
        <f t="shared" si="5"/>
        <v>-0.78278632912431956</v>
      </c>
      <c r="O121" s="31">
        <f t="shared" si="6"/>
        <v>-1.6189991866792286</v>
      </c>
      <c r="P121" s="26">
        <f t="shared" si="7"/>
        <v>-0.8064382158459189</v>
      </c>
      <c r="Q121" s="6">
        <v>0.449731324011726</v>
      </c>
      <c r="R121" s="6">
        <v>0.29381859501475199</v>
      </c>
      <c r="S121" s="6">
        <v>0.22426808115772801</v>
      </c>
      <c r="T121" s="6">
        <v>0.15425981195322</v>
      </c>
      <c r="U121" s="6">
        <v>0.216127040204694</v>
      </c>
      <c r="V121" s="6">
        <v>5.2157880748407499E-2</v>
      </c>
    </row>
    <row r="122" spans="1:22" ht="15.75" customHeight="1" x14ac:dyDescent="0.3">
      <c r="A122" s="19" t="s">
        <v>164</v>
      </c>
      <c r="B122" s="81" t="s">
        <v>163</v>
      </c>
      <c r="C122" s="277">
        <v>-0.10261183154063599</v>
      </c>
      <c r="D122" s="278">
        <v>-8.6598490701816702E-2</v>
      </c>
      <c r="E122" s="187">
        <v>-0.16108999365068399</v>
      </c>
      <c r="F122" s="260">
        <v>-0.16469750497920499</v>
      </c>
      <c r="G122" s="279">
        <v>-8.5644578025953794E-2</v>
      </c>
      <c r="H122" s="280">
        <v>-0.13767951227096201</v>
      </c>
      <c r="I122" s="26">
        <f t="shared" si="0"/>
        <v>-0.12305365186154292</v>
      </c>
      <c r="J122" s="27">
        <f t="shared" si="1"/>
        <v>-0.98210415924652739</v>
      </c>
      <c r="K122" s="20">
        <f t="shared" si="2"/>
        <v>-0.89270701517706319</v>
      </c>
      <c r="L122" s="28">
        <f t="shared" si="3"/>
        <v>-1.7340081472652944</v>
      </c>
      <c r="M122" s="29">
        <f t="shared" si="4"/>
        <v>-1.9801261477720415</v>
      </c>
      <c r="N122" s="30">
        <f t="shared" si="5"/>
        <v>-0.8578885575307309</v>
      </c>
      <c r="O122" s="31">
        <f t="shared" si="6"/>
        <v>-1.5180312012414154</v>
      </c>
      <c r="P122" s="26">
        <f t="shared" si="7"/>
        <v>-1.3274775380388453</v>
      </c>
      <c r="Q122" s="6">
        <v>0.16223629835303999</v>
      </c>
      <c r="R122" s="6">
        <v>0.18522798012330399</v>
      </c>
      <c r="S122" s="41">
        <v>4.0958875526675098E-2</v>
      </c>
      <c r="T122" s="41">
        <v>2.3484113182188699E-2</v>
      </c>
      <c r="U122" s="6">
        <v>0.19470507627429401</v>
      </c>
      <c r="V122" s="6">
        <v>6.38813532295186E-2</v>
      </c>
    </row>
    <row r="123" spans="1:22" ht="15.75" customHeight="1" x14ac:dyDescent="0.3">
      <c r="A123" s="19" t="s">
        <v>165</v>
      </c>
      <c r="B123" s="19" t="s">
        <v>163</v>
      </c>
      <c r="C123" s="117">
        <v>-0.121105602739896</v>
      </c>
      <c r="D123" s="247">
        <v>-5.7390789667909101E-2</v>
      </c>
      <c r="E123" s="281">
        <v>-6.9330409420598302E-2</v>
      </c>
      <c r="F123" s="38">
        <v>-3.305380317974E-2</v>
      </c>
      <c r="G123" s="192">
        <v>-5.2460943059988698E-2</v>
      </c>
      <c r="H123" s="44">
        <v>-0.13527464464811201</v>
      </c>
      <c r="I123" s="26">
        <f t="shared" si="0"/>
        <v>-7.8102698786040689E-2</v>
      </c>
      <c r="J123" s="27">
        <f t="shared" si="1"/>
        <v>-1.2263658041131005</v>
      </c>
      <c r="K123" s="20">
        <f t="shared" si="2"/>
        <v>-0.52424403677503884</v>
      </c>
      <c r="L123" s="28">
        <f t="shared" si="3"/>
        <v>-0.48240265386344772</v>
      </c>
      <c r="M123" s="29">
        <f t="shared" si="4"/>
        <v>-0.34875056743039717</v>
      </c>
      <c r="N123" s="30">
        <f t="shared" si="5"/>
        <v>-0.43672704136929208</v>
      </c>
      <c r="O123" s="31">
        <f t="shared" si="6"/>
        <v>-1.4875059963416104</v>
      </c>
      <c r="P123" s="26">
        <f t="shared" si="7"/>
        <v>-0.7509993499821479</v>
      </c>
      <c r="Q123" s="6">
        <v>0.109279850995221</v>
      </c>
      <c r="R123" s="6">
        <v>0.299459923496259</v>
      </c>
      <c r="S123" s="6">
        <v>0.31420125026481499</v>
      </c>
      <c r="T123" s="6">
        <v>0.363211219349796</v>
      </c>
      <c r="U123" s="6">
        <v>0.330638076259612</v>
      </c>
      <c r="V123" s="6">
        <v>6.7802501140846405E-2</v>
      </c>
    </row>
    <row r="124" spans="1:22" ht="15.75" customHeight="1" x14ac:dyDescent="0.3">
      <c r="A124" s="19" t="s">
        <v>166</v>
      </c>
      <c r="B124" s="19" t="s">
        <v>163</v>
      </c>
      <c r="C124" s="118">
        <v>-8.2402143425981095E-2</v>
      </c>
      <c r="D124" s="260">
        <v>-7.7376979102662304E-3</v>
      </c>
      <c r="E124" s="182">
        <v>-9.0748781760018798E-2</v>
      </c>
      <c r="F124" s="24">
        <v>-3.2396992123007097E-2</v>
      </c>
      <c r="G124" s="99">
        <v>-0.12880650882084499</v>
      </c>
      <c r="H124" s="116">
        <v>-0.107341182259624</v>
      </c>
      <c r="I124" s="26">
        <f t="shared" si="0"/>
        <v>-7.4905551049957039E-2</v>
      </c>
      <c r="J124" s="27">
        <f t="shared" si="1"/>
        <v>-0.71517906279440091</v>
      </c>
      <c r="K124" s="20">
        <f t="shared" si="2"/>
        <v>0.10214302650840194</v>
      </c>
      <c r="L124" s="28">
        <f t="shared" si="3"/>
        <v>-0.77455036469576632</v>
      </c>
      <c r="M124" s="29">
        <f t="shared" si="4"/>
        <v>-0.34061113117780162</v>
      </c>
      <c r="N124" s="30">
        <f t="shared" si="5"/>
        <v>-1.4056930470833655</v>
      </c>
      <c r="O124" s="31">
        <f t="shared" si="6"/>
        <v>-1.1329440009669576</v>
      </c>
      <c r="P124" s="26">
        <f t="shared" si="7"/>
        <v>-0.71113909670164832</v>
      </c>
      <c r="Q124" s="6">
        <v>0.23652898081388599</v>
      </c>
      <c r="R124" s="6">
        <v>0.45918931834018001</v>
      </c>
      <c r="S124" s="6">
        <v>0.21855653788312701</v>
      </c>
      <c r="T124" s="6">
        <v>0.36627989654302401</v>
      </c>
      <c r="U124" s="6">
        <v>7.9228609196592595E-2</v>
      </c>
      <c r="V124" s="6">
        <v>0.12784432148035099</v>
      </c>
    </row>
    <row r="125" spans="1:22" ht="15.75" customHeight="1" x14ac:dyDescent="0.3">
      <c r="A125" s="19" t="s">
        <v>167</v>
      </c>
      <c r="B125" s="19" t="s">
        <v>163</v>
      </c>
      <c r="C125" s="125">
        <v>-4.8465119988163802E-2</v>
      </c>
      <c r="D125" s="216">
        <v>-4.6652664287796103E-2</v>
      </c>
      <c r="E125" s="35">
        <v>-3.9368096202611003E-2</v>
      </c>
      <c r="F125" s="46">
        <v>4.1916487438772097E-2</v>
      </c>
      <c r="G125" s="269">
        <v>-4.0626220100099003E-2</v>
      </c>
      <c r="H125" s="129">
        <v>-8.4587434751122001E-2</v>
      </c>
      <c r="I125" s="26">
        <f t="shared" si="0"/>
        <v>-3.6297174648503301E-2</v>
      </c>
      <c r="J125" s="27">
        <f t="shared" si="1"/>
        <v>-0.26694635365780345</v>
      </c>
      <c r="K125" s="20">
        <f t="shared" si="2"/>
        <v>-0.38877970648017807</v>
      </c>
      <c r="L125" s="28">
        <f t="shared" si="3"/>
        <v>-7.371514581386332E-2</v>
      </c>
      <c r="M125" s="29">
        <f t="shared" si="4"/>
        <v>0.58030794197300506</v>
      </c>
      <c r="N125" s="30">
        <f t="shared" si="5"/>
        <v>-0.28652258455647078</v>
      </c>
      <c r="O125" s="31">
        <f t="shared" si="6"/>
        <v>-0.8441286007611335</v>
      </c>
      <c r="P125" s="26">
        <f t="shared" si="7"/>
        <v>-0.21329740821607401</v>
      </c>
      <c r="Q125" s="6">
        <v>0.39441997425283798</v>
      </c>
      <c r="R125" s="6">
        <v>0.34825046786491498</v>
      </c>
      <c r="S125" s="6">
        <v>0.47052283632313402</v>
      </c>
      <c r="T125" s="6">
        <v>0.28021555413117499</v>
      </c>
      <c r="U125" s="6">
        <v>0.38688105494370501</v>
      </c>
      <c r="V125" s="6">
        <v>0.19853025360510099</v>
      </c>
    </row>
    <row r="126" spans="1:22" ht="15.75" customHeight="1" x14ac:dyDescent="0.3">
      <c r="A126" s="19" t="s">
        <v>168</v>
      </c>
      <c r="B126" s="19" t="s">
        <v>163</v>
      </c>
      <c r="C126" s="200">
        <v>-8.9990309340728693E-3</v>
      </c>
      <c r="D126" s="221">
        <v>6.1329924534621098E-2</v>
      </c>
      <c r="E126" s="34">
        <v>-5.87967836798996E-2</v>
      </c>
      <c r="F126" s="166">
        <v>3.1689000983931202E-2</v>
      </c>
      <c r="G126" s="95">
        <v>-0.10478898281401</v>
      </c>
      <c r="H126" s="224">
        <v>-8.4032465299695103E-2</v>
      </c>
      <c r="I126" s="26">
        <f t="shared" si="0"/>
        <v>-2.7266389534854215E-2</v>
      </c>
      <c r="J126" s="27">
        <f t="shared" si="1"/>
        <v>0.25431303281003786</v>
      </c>
      <c r="K126" s="20">
        <f t="shared" si="2"/>
        <v>0.97344959896495287</v>
      </c>
      <c r="L126" s="28">
        <f t="shared" si="3"/>
        <v>-0.33872345181476515</v>
      </c>
      <c r="M126" s="29">
        <f t="shared" si="4"/>
        <v>0.45356529175401689</v>
      </c>
      <c r="N126" s="30">
        <f t="shared" si="5"/>
        <v>-1.1008663553161688</v>
      </c>
      <c r="O126" s="31">
        <f t="shared" si="6"/>
        <v>-0.83708432270733268</v>
      </c>
      <c r="P126" s="26">
        <f t="shared" si="7"/>
        <v>-9.9224367718209847E-2</v>
      </c>
      <c r="Q126" s="6">
        <v>0.399306416596861</v>
      </c>
      <c r="R126" s="6">
        <v>0.16437726390496599</v>
      </c>
      <c r="S126" s="6">
        <v>0.36699280869610101</v>
      </c>
      <c r="T126" s="6">
        <v>0.32453839038038401</v>
      </c>
      <c r="U126" s="6">
        <v>0.13469723515783399</v>
      </c>
      <c r="V126" s="6">
        <v>0.20050593835123201</v>
      </c>
    </row>
    <row r="127" spans="1:22" ht="15.75" customHeight="1" x14ac:dyDescent="0.3">
      <c r="A127" s="19" t="s">
        <v>169</v>
      </c>
      <c r="B127" s="19" t="s">
        <v>163</v>
      </c>
      <c r="C127" s="113">
        <v>-1.6625328335829598E-2</v>
      </c>
      <c r="D127" s="274">
        <v>2.6967923318259202E-2</v>
      </c>
      <c r="E127" s="110">
        <v>8.9376218405930695E-4</v>
      </c>
      <c r="F127" s="165">
        <v>4.3605430156085298E-2</v>
      </c>
      <c r="G127" s="135">
        <v>-6.41796393241931E-2</v>
      </c>
      <c r="H127" s="32">
        <v>-7.8112791151141406E-2</v>
      </c>
      <c r="I127" s="26">
        <f t="shared" si="0"/>
        <v>-1.4575107192126716E-2</v>
      </c>
      <c r="J127" s="27">
        <f t="shared" si="1"/>
        <v>0.1535865813186672</v>
      </c>
      <c r="K127" s="20">
        <f t="shared" si="2"/>
        <v>0.53996374202139463</v>
      </c>
      <c r="L127" s="28">
        <f t="shared" si="3"/>
        <v>0.47545869312776406</v>
      </c>
      <c r="M127" s="29">
        <f t="shared" si="4"/>
        <v>0.60123792090825101</v>
      </c>
      <c r="N127" s="30">
        <f t="shared" si="5"/>
        <v>-0.58545890546826107</v>
      </c>
      <c r="O127" s="31">
        <f t="shared" si="6"/>
        <v>-0.76194535680012221</v>
      </c>
      <c r="P127" s="26">
        <f t="shared" si="7"/>
        <v>7.0473779184615615E-2</v>
      </c>
      <c r="Q127" s="6">
        <v>0.43877030078803297</v>
      </c>
      <c r="R127" s="6">
        <v>0.29400382549224802</v>
      </c>
      <c r="S127" s="6">
        <v>0.316677518516495</v>
      </c>
      <c r="T127" s="6">
        <v>0.27318797329301697</v>
      </c>
      <c r="U127" s="6">
        <v>0.27847793647543101</v>
      </c>
      <c r="V127" s="6">
        <v>0.222305125478508</v>
      </c>
    </row>
    <row r="128" spans="1:22" ht="15.75" customHeight="1" x14ac:dyDescent="0.3">
      <c r="A128" s="19" t="s">
        <v>170</v>
      </c>
      <c r="B128" s="19" t="s">
        <v>163</v>
      </c>
      <c r="C128" s="154">
        <v>-5.8379306610447601E-2</v>
      </c>
      <c r="D128" s="172">
        <v>7.1380809890406904E-2</v>
      </c>
      <c r="E128" s="50">
        <v>-2.01734892973379E-2</v>
      </c>
      <c r="F128" s="64">
        <v>2.8874096455076E-2</v>
      </c>
      <c r="G128" s="175">
        <v>-5.5941743930544401E-2</v>
      </c>
      <c r="H128" s="192">
        <v>-7.7187842065429904E-2</v>
      </c>
      <c r="I128" s="26">
        <f t="shared" si="0"/>
        <v>-1.8571245926379484E-2</v>
      </c>
      <c r="J128" s="27">
        <f t="shared" si="1"/>
        <v>-0.39789074059658597</v>
      </c>
      <c r="K128" s="20">
        <f t="shared" si="2"/>
        <v>1.1002442121209433</v>
      </c>
      <c r="L128" s="28">
        <f t="shared" si="3"/>
        <v>0.18810028903040152</v>
      </c>
      <c r="M128" s="29">
        <f t="shared" si="4"/>
        <v>0.41868199352860841</v>
      </c>
      <c r="N128" s="30">
        <f t="shared" si="5"/>
        <v>-0.48090482278482666</v>
      </c>
      <c r="O128" s="31">
        <f t="shared" si="6"/>
        <v>-0.75020489337712071</v>
      </c>
      <c r="P128" s="26">
        <f t="shared" si="7"/>
        <v>1.3004339653569971E-2</v>
      </c>
      <c r="Q128" s="6">
        <v>0.344877003588557</v>
      </c>
      <c r="R128" s="6">
        <v>0.13483259272013001</v>
      </c>
      <c r="S128" s="6">
        <v>0.42515849124285299</v>
      </c>
      <c r="T128" s="6">
        <v>0.33722519188739197</v>
      </c>
      <c r="U128" s="6">
        <v>0.31473468611925798</v>
      </c>
      <c r="V128" s="6">
        <v>0.22582936511430801</v>
      </c>
    </row>
    <row r="129" spans="1:22" ht="15.75" customHeight="1" x14ac:dyDescent="0.3">
      <c r="A129" s="19" t="s">
        <v>171</v>
      </c>
      <c r="B129" s="19" t="s">
        <v>163</v>
      </c>
      <c r="C129" s="282">
        <v>-2.42516257375863E-2</v>
      </c>
      <c r="D129" s="24">
        <v>3.9252338753108601E-2</v>
      </c>
      <c r="E129" s="131">
        <v>-4.8029077367185501E-2</v>
      </c>
      <c r="F129" s="25">
        <v>6.4154233216728807E-2</v>
      </c>
      <c r="G129" s="177">
        <v>-5.4781476973692497E-2</v>
      </c>
      <c r="H129" s="244">
        <v>-7.3858025356868501E-2</v>
      </c>
      <c r="I129" s="26">
        <f t="shared" si="0"/>
        <v>-1.6252272244249234E-2</v>
      </c>
      <c r="J129" s="27">
        <f t="shared" si="1"/>
        <v>5.2860129827296917E-2</v>
      </c>
      <c r="K129" s="20">
        <f t="shared" si="2"/>
        <v>0.69493493587871702</v>
      </c>
      <c r="L129" s="28">
        <f t="shared" si="3"/>
        <v>-0.19185137860944693</v>
      </c>
      <c r="M129" s="29">
        <f t="shared" si="4"/>
        <v>0.85588599795373943</v>
      </c>
      <c r="N129" s="30">
        <f t="shared" si="5"/>
        <v>-0.46617889564631521</v>
      </c>
      <c r="O129" s="31">
        <f t="shared" si="6"/>
        <v>-0.70793922505431539</v>
      </c>
      <c r="P129" s="26">
        <f t="shared" si="7"/>
        <v>3.9618594058279312E-2</v>
      </c>
      <c r="Q129" s="6">
        <v>0.47885296899239599</v>
      </c>
      <c r="R129" s="6">
        <v>0.24283811042283199</v>
      </c>
      <c r="S129" s="6">
        <v>0.42368416479752902</v>
      </c>
      <c r="T129" s="6">
        <v>0.19525896995767</v>
      </c>
      <c r="U129" s="6">
        <v>0.31999961529561899</v>
      </c>
      <c r="V129" s="6">
        <v>0.23877487487509</v>
      </c>
    </row>
    <row r="130" spans="1:22" ht="15.75" customHeight="1" x14ac:dyDescent="0.3">
      <c r="A130" s="19" t="s">
        <v>172</v>
      </c>
      <c r="B130" s="19" t="s">
        <v>163</v>
      </c>
      <c r="C130" s="87">
        <v>-2.42516257375863E-2</v>
      </c>
      <c r="D130" s="39">
        <v>8.2806175294847295E-2</v>
      </c>
      <c r="E130" s="174">
        <v>-2.54403021676873E-2</v>
      </c>
      <c r="F130" s="91">
        <v>2.9812397964694402E-2</v>
      </c>
      <c r="G130" s="91">
        <v>-5.2380779161151402E-3</v>
      </c>
      <c r="H130" s="33">
        <v>-7.3488045722583897E-2</v>
      </c>
      <c r="I130" s="26">
        <f t="shared" si="0"/>
        <v>-2.6332463807384895E-3</v>
      </c>
      <c r="J130" s="27">
        <f t="shared" si="1"/>
        <v>5.2860129827296917E-2</v>
      </c>
      <c r="K130" s="20">
        <f t="shared" si="2"/>
        <v>1.2443782595546771</v>
      </c>
      <c r="L130" s="28">
        <f t="shared" si="3"/>
        <v>0.11626068800605957</v>
      </c>
      <c r="M130" s="29">
        <f t="shared" si="4"/>
        <v>0.43030975960374451</v>
      </c>
      <c r="N130" s="30">
        <f t="shared" si="5"/>
        <v>0.16261819316814174</v>
      </c>
      <c r="O130" s="31">
        <f t="shared" si="6"/>
        <v>-0.70324303968511481</v>
      </c>
      <c r="P130" s="26">
        <f t="shared" si="7"/>
        <v>0.21719733174580078</v>
      </c>
      <c r="Q130" s="6">
        <v>0.47885296899239599</v>
      </c>
      <c r="R130" s="6">
        <v>0.105935307661398</v>
      </c>
      <c r="S130" s="6">
        <v>0.45357266689901399</v>
      </c>
      <c r="T130" s="6">
        <v>0.33297475073694999</v>
      </c>
      <c r="U130" s="6">
        <v>0.43520065470878599</v>
      </c>
      <c r="V130" s="6">
        <v>0.24023790906096701</v>
      </c>
    </row>
    <row r="131" spans="1:22" ht="15.75" customHeight="1" x14ac:dyDescent="0.3">
      <c r="A131" s="19" t="s">
        <v>173</v>
      </c>
      <c r="B131" s="19" t="s">
        <v>163</v>
      </c>
      <c r="C131" s="33">
        <v>-4.8465119988163802E-2</v>
      </c>
      <c r="D131" s="208">
        <v>-3.5283527612618498E-3</v>
      </c>
      <c r="E131" s="45">
        <v>-5.2944769379511501E-2</v>
      </c>
      <c r="F131" s="32">
        <v>2.08985336233194E-2</v>
      </c>
      <c r="G131" s="130">
        <v>-4.8516035406691999E-2</v>
      </c>
      <c r="H131" s="55">
        <v>-7.1083178099733996E-2</v>
      </c>
      <c r="I131" s="26">
        <f t="shared" si="0"/>
        <v>-3.3939820335340626E-2</v>
      </c>
      <c r="J131" s="27">
        <f t="shared" si="1"/>
        <v>-0.26694635365780345</v>
      </c>
      <c r="K131" s="20">
        <f t="shared" si="2"/>
        <v>0.15524504398398842</v>
      </c>
      <c r="L131" s="28">
        <f t="shared" si="3"/>
        <v>-0.25890167289883131</v>
      </c>
      <c r="M131" s="29">
        <f t="shared" si="4"/>
        <v>0.31984598188994862</v>
      </c>
      <c r="N131" s="30">
        <f t="shared" si="5"/>
        <v>-0.38665888909835</v>
      </c>
      <c r="O131" s="31">
        <f t="shared" si="6"/>
        <v>-0.672717834785311</v>
      </c>
      <c r="P131" s="26">
        <f t="shared" si="7"/>
        <v>-0.18502228742772645</v>
      </c>
      <c r="Q131" s="6">
        <v>0.39441997425283798</v>
      </c>
      <c r="R131" s="6">
        <v>0.43811442921446297</v>
      </c>
      <c r="S131" s="6">
        <v>0.39752970749869498</v>
      </c>
      <c r="T131" s="6">
        <v>0.37414705509969498</v>
      </c>
      <c r="U131" s="6">
        <v>0.34903746224607901</v>
      </c>
      <c r="V131" s="6">
        <v>0.24986562243989899</v>
      </c>
    </row>
    <row r="132" spans="1:22" ht="15.75" customHeight="1" x14ac:dyDescent="0.3">
      <c r="A132" s="19" t="s">
        <v>174</v>
      </c>
      <c r="B132" s="19" t="s">
        <v>163</v>
      </c>
      <c r="C132" s="148">
        <v>-1.0905605284512E-2</v>
      </c>
      <c r="D132" s="65">
        <v>0.1144192164139</v>
      </c>
      <c r="E132" s="65">
        <v>-4.7241715443133003E-3</v>
      </c>
      <c r="F132" s="137">
        <v>4.47313919676273E-2</v>
      </c>
      <c r="G132" s="283">
        <v>-5.0604515929025498E-2</v>
      </c>
      <c r="H132" s="45">
        <v>-6.9788249379737904E-2</v>
      </c>
      <c r="I132" s="26">
        <f t="shared" si="0"/>
        <v>3.8546777073231015E-3</v>
      </c>
      <c r="J132" s="27">
        <f t="shared" si="1"/>
        <v>0.22913141993719588</v>
      </c>
      <c r="K132" s="20">
        <f t="shared" si="2"/>
        <v>1.6431852479427473</v>
      </c>
      <c r="L132" s="28">
        <f t="shared" si="3"/>
        <v>0.39882978536846708</v>
      </c>
      <c r="M132" s="29">
        <f t="shared" si="4"/>
        <v>0.61519124019841354</v>
      </c>
      <c r="N132" s="30">
        <f t="shared" si="5"/>
        <v>-0.41316555794767174</v>
      </c>
      <c r="O132" s="31">
        <f t="shared" si="6"/>
        <v>-0.65628118599310914</v>
      </c>
      <c r="P132" s="26">
        <f t="shared" si="7"/>
        <v>0.30281515825100708</v>
      </c>
      <c r="Q132" s="6">
        <v>0.40909289906881702</v>
      </c>
      <c r="R132" s="41">
        <v>4.9620299852825199E-2</v>
      </c>
      <c r="S132" s="6">
        <v>0.34453000598025602</v>
      </c>
      <c r="T132" s="6">
        <v>0.26855193719895398</v>
      </c>
      <c r="U132" s="6">
        <v>0.339249014383532</v>
      </c>
      <c r="V132" s="6">
        <v>0.25513337194188401</v>
      </c>
    </row>
    <row r="133" spans="1:22" ht="15.75" customHeight="1" x14ac:dyDescent="0.3">
      <c r="A133" s="19" t="s">
        <v>175</v>
      </c>
      <c r="B133" s="19" t="s">
        <v>163</v>
      </c>
      <c r="C133" s="53">
        <v>-1.22402073298194E-2</v>
      </c>
      <c r="D133" s="47">
        <v>6.9147279811343401E-2</v>
      </c>
      <c r="E133" s="284">
        <v>-1.57259584290429E-2</v>
      </c>
      <c r="F133" s="75">
        <v>-8.0011528729280398E-3</v>
      </c>
      <c r="G133" s="42">
        <v>-2.60068564437647E-2</v>
      </c>
      <c r="H133" s="152">
        <v>-6.7938351208314901E-2</v>
      </c>
      <c r="I133" s="26">
        <f t="shared" si="0"/>
        <v>-1.0127541078754422E-2</v>
      </c>
      <c r="J133" s="27">
        <f t="shared" si="1"/>
        <v>0.21150429092620637</v>
      </c>
      <c r="K133" s="20">
        <f t="shared" si="2"/>
        <v>1.072067631419612</v>
      </c>
      <c r="L133" s="28">
        <f t="shared" si="3"/>
        <v>0.24876484100651186</v>
      </c>
      <c r="M133" s="29">
        <f t="shared" si="4"/>
        <v>-3.8289213224253632E-2</v>
      </c>
      <c r="N133" s="30">
        <f t="shared" si="5"/>
        <v>-0.1009759026112212</v>
      </c>
      <c r="O133" s="31">
        <f t="shared" si="6"/>
        <v>-0.63280025914710614</v>
      </c>
      <c r="P133" s="26">
        <f t="shared" si="7"/>
        <v>0.12671189806162489</v>
      </c>
      <c r="Q133" s="6">
        <v>0.41597770499080999</v>
      </c>
      <c r="R133" s="6">
        <v>0.14106083106805001</v>
      </c>
      <c r="S133" s="6">
        <v>0.40145744699643199</v>
      </c>
      <c r="T133" s="6">
        <v>0.484678744571719</v>
      </c>
      <c r="U133" s="6">
        <v>0.45965403397258697</v>
      </c>
      <c r="V133" s="6">
        <v>0.262758276658134</v>
      </c>
    </row>
    <row r="134" spans="1:22" ht="15.75" customHeight="1" x14ac:dyDescent="0.3">
      <c r="A134" s="19" t="s">
        <v>176</v>
      </c>
      <c r="B134" s="19" t="s">
        <v>163</v>
      </c>
      <c r="C134" s="25">
        <v>-4.2554739501802399E-2</v>
      </c>
      <c r="D134" s="159">
        <v>1.8836624303151101E-3</v>
      </c>
      <c r="E134" s="129">
        <v>-2.28654158755165E-2</v>
      </c>
      <c r="F134" s="42">
        <v>1.44242532069522E-2</v>
      </c>
      <c r="G134" s="93">
        <v>-5.5245583756433202E-2</v>
      </c>
      <c r="H134" s="198">
        <v>-6.7753361391172606E-2</v>
      </c>
      <c r="I134" s="26">
        <f t="shared" si="0"/>
        <v>-2.8685197481276233E-2</v>
      </c>
      <c r="J134" s="27">
        <f t="shared" si="1"/>
        <v>-0.188883353751992</v>
      </c>
      <c r="K134" s="20">
        <f t="shared" si="2"/>
        <v>0.22351906645259836</v>
      </c>
      <c r="L134" s="28">
        <f t="shared" si="3"/>
        <v>0.15138227072907096</v>
      </c>
      <c r="M134" s="29">
        <f t="shared" si="4"/>
        <v>0.23961439597150624</v>
      </c>
      <c r="N134" s="30">
        <f t="shared" si="5"/>
        <v>-0.47206926650171899</v>
      </c>
      <c r="O134" s="31">
        <f t="shared" si="6"/>
        <v>-0.6304521664625059</v>
      </c>
      <c r="P134" s="26">
        <f t="shared" si="7"/>
        <v>-0.11281484226050688</v>
      </c>
      <c r="Q134" s="6">
        <v>0.42485062868525603</v>
      </c>
      <c r="R134" s="6">
        <v>0.41128203901548099</v>
      </c>
      <c r="S134" s="6">
        <v>0.43964229863438198</v>
      </c>
      <c r="T134" s="6">
        <v>0.40501157189710202</v>
      </c>
      <c r="U134" s="6">
        <v>0.31788921271702297</v>
      </c>
      <c r="V134" s="6">
        <v>0.26352712806589801</v>
      </c>
    </row>
    <row r="135" spans="1:22" ht="15.75" customHeight="1" x14ac:dyDescent="0.3">
      <c r="A135" s="19" t="s">
        <v>177</v>
      </c>
      <c r="B135" s="19" t="s">
        <v>163</v>
      </c>
      <c r="C135" s="56">
        <v>-3.66443590154409E-2</v>
      </c>
      <c r="D135" s="50">
        <v>1.1505022770896401E-2</v>
      </c>
      <c r="E135" s="110">
        <v>-1.77156432911749E-2</v>
      </c>
      <c r="F135" s="23">
        <v>2.39010984540983E-2</v>
      </c>
      <c r="G135" s="180">
        <v>-5.4317370190951703E-2</v>
      </c>
      <c r="H135" s="108">
        <v>-6.7013402122603399E-2</v>
      </c>
      <c r="I135" s="26">
        <f t="shared" si="0"/>
        <v>-2.33807755658627E-2</v>
      </c>
      <c r="J135" s="27">
        <f t="shared" si="1"/>
        <v>-0.11082035384617928</v>
      </c>
      <c r="K135" s="20">
        <f t="shared" si="2"/>
        <v>0.3448951063967941</v>
      </c>
      <c r="L135" s="28">
        <f t="shared" si="3"/>
        <v>0.22162543617509373</v>
      </c>
      <c r="M135" s="29">
        <f t="shared" si="4"/>
        <v>0.35705483333038457</v>
      </c>
      <c r="N135" s="30">
        <f t="shared" si="5"/>
        <v>-0.46028852479091015</v>
      </c>
      <c r="O135" s="31">
        <f t="shared" si="6"/>
        <v>-0.62105979572410475</v>
      </c>
      <c r="P135" s="26">
        <f t="shared" si="7"/>
        <v>-4.4765549743153638E-2</v>
      </c>
      <c r="Q135" s="6">
        <v>0.45573604343811303</v>
      </c>
      <c r="R135" s="6">
        <v>0.364663699757594</v>
      </c>
      <c r="S135" s="6">
        <v>0.41202129083359401</v>
      </c>
      <c r="T135" s="6">
        <v>0.36008942336655397</v>
      </c>
      <c r="U135" s="6">
        <v>0.32211585889692901</v>
      </c>
      <c r="V135" s="6">
        <v>0.26661397260893999</v>
      </c>
    </row>
    <row r="136" spans="1:22" ht="15.75" customHeight="1" x14ac:dyDescent="0.3">
      <c r="A136" s="19" t="s">
        <v>178</v>
      </c>
      <c r="B136" s="19" t="s">
        <v>163</v>
      </c>
      <c r="C136" s="32">
        <v>-3.47377846650017E-2</v>
      </c>
      <c r="D136" s="42">
        <v>7.2239859920815996E-2</v>
      </c>
      <c r="E136" s="152">
        <v>-2.7664067601834502E-4</v>
      </c>
      <c r="F136" s="150">
        <v>1.8177459245425898E-2</v>
      </c>
      <c r="G136" s="122">
        <v>-2.5542749661023802E-2</v>
      </c>
      <c r="H136" s="110">
        <v>-6.7013402122603399E-2</v>
      </c>
      <c r="I136" s="26">
        <f t="shared" si="0"/>
        <v>-6.1922096597342262E-3</v>
      </c>
      <c r="J136" s="27">
        <f t="shared" si="1"/>
        <v>-8.5638740973336389E-2</v>
      </c>
      <c r="K136" s="20">
        <f t="shared" si="2"/>
        <v>1.1110813585445327</v>
      </c>
      <c r="L136" s="28">
        <f t="shared" si="3"/>
        <v>0.45949433734457679</v>
      </c>
      <c r="M136" s="29">
        <f t="shared" si="4"/>
        <v>0.28612546027205205</v>
      </c>
      <c r="N136" s="30">
        <f t="shared" si="5"/>
        <v>-9.5085531755814842E-2</v>
      </c>
      <c r="O136" s="31">
        <f t="shared" si="6"/>
        <v>-0.62105979572410475</v>
      </c>
      <c r="P136" s="26">
        <f t="shared" si="7"/>
        <v>0.17581951461798426</v>
      </c>
      <c r="Q136" s="6">
        <v>0.46576574149231897</v>
      </c>
      <c r="R136" s="6">
        <v>0.13248812241108801</v>
      </c>
      <c r="S136" s="6">
        <v>0.32240163168772201</v>
      </c>
      <c r="T136" s="6">
        <v>0.387033577036416</v>
      </c>
      <c r="U136" s="6">
        <v>0.46200024080320701</v>
      </c>
      <c r="V136" s="6">
        <v>0.26661397260893999</v>
      </c>
    </row>
    <row r="137" spans="1:22" ht="15.75" customHeight="1" x14ac:dyDescent="0.3">
      <c r="A137" s="19" t="s">
        <v>179</v>
      </c>
      <c r="B137" s="19" t="s">
        <v>163</v>
      </c>
      <c r="C137" s="143">
        <v>-4.5605258462505002E-2</v>
      </c>
      <c r="D137" s="22">
        <v>4.8903375367467901E-3</v>
      </c>
      <c r="E137" s="35">
        <v>-5.8679743393891801E-2</v>
      </c>
      <c r="F137" s="50">
        <v>5.4020576912849803E-2</v>
      </c>
      <c r="G137" s="103">
        <v>1.25941704225565E-3</v>
      </c>
      <c r="H137" s="129">
        <v>-6.5903463219749603E-2</v>
      </c>
      <c r="I137" s="26">
        <f t="shared" si="0"/>
        <v>-1.8336355597382361E-2</v>
      </c>
      <c r="J137" s="27">
        <f t="shared" si="1"/>
        <v>-0.22917393434853908</v>
      </c>
      <c r="K137" s="20">
        <f t="shared" si="2"/>
        <v>0.2614490789351599</v>
      </c>
      <c r="L137" s="28">
        <f t="shared" si="3"/>
        <v>-0.33712701623644598</v>
      </c>
      <c r="M137" s="29">
        <f t="shared" si="4"/>
        <v>0.73030612434226561</v>
      </c>
      <c r="N137" s="30">
        <f t="shared" si="5"/>
        <v>0.24508338514380806</v>
      </c>
      <c r="O137" s="31">
        <f t="shared" si="6"/>
        <v>-0.60697123961650301</v>
      </c>
      <c r="P137" s="26">
        <f t="shared" si="7"/>
        <v>1.0594399703290902E-2</v>
      </c>
      <c r="Q137" s="6">
        <v>0.40907632673219002</v>
      </c>
      <c r="R137" s="6">
        <v>0.396544273051399</v>
      </c>
      <c r="S137" s="6">
        <v>0.36759608629817703</v>
      </c>
      <c r="T137" s="6">
        <v>0.23187411038882499</v>
      </c>
      <c r="U137" s="6">
        <v>0.40288639934223902</v>
      </c>
      <c r="V137" s="6">
        <v>0.27127826847343101</v>
      </c>
    </row>
    <row r="138" spans="1:22" ht="15.75" customHeight="1" x14ac:dyDescent="0.3">
      <c r="A138" s="19" t="s">
        <v>180</v>
      </c>
      <c r="B138" s="19" t="s">
        <v>163</v>
      </c>
      <c r="C138" s="124">
        <v>-1.94470583744799E-3</v>
      </c>
      <c r="D138" s="180">
        <v>0.16579040823236099</v>
      </c>
      <c r="E138" s="115">
        <v>-6.2776153404159503E-4</v>
      </c>
      <c r="F138" s="98">
        <v>6.0401027178254997E-2</v>
      </c>
      <c r="G138" s="225">
        <v>-5.10686227117663E-2</v>
      </c>
      <c r="H138" s="45">
        <v>-6.4423544682611203E-2</v>
      </c>
      <c r="I138" s="26">
        <f t="shared" si="0"/>
        <v>1.8021133440791485E-2</v>
      </c>
      <c r="J138" s="27">
        <f t="shared" si="1"/>
        <v>0.34748500043955444</v>
      </c>
      <c r="K138" s="20">
        <f t="shared" si="2"/>
        <v>2.2912466040733666</v>
      </c>
      <c r="L138" s="28">
        <f t="shared" si="3"/>
        <v>0.45470503060962131</v>
      </c>
      <c r="M138" s="29">
        <f t="shared" si="4"/>
        <v>0.80937493365319235</v>
      </c>
      <c r="N138" s="30">
        <f t="shared" si="5"/>
        <v>-0.41905592880307679</v>
      </c>
      <c r="O138" s="31">
        <f t="shared" si="6"/>
        <v>-0.5881864981397007</v>
      </c>
      <c r="P138" s="26">
        <f t="shared" si="7"/>
        <v>0.48259485697215948</v>
      </c>
      <c r="Q138" s="6">
        <v>0.36368778487861902</v>
      </c>
      <c r="R138" s="41">
        <v>1.0760361160541E-2</v>
      </c>
      <c r="S138" s="6">
        <v>0.32412719032447201</v>
      </c>
      <c r="T138" s="6">
        <v>0.20839132805853799</v>
      </c>
      <c r="U138" s="6">
        <v>0.337088175224042</v>
      </c>
      <c r="V138" s="6">
        <v>0.27755994556119501</v>
      </c>
    </row>
    <row r="139" spans="1:22" ht="15.75" customHeight="1" x14ac:dyDescent="0.3">
      <c r="A139" s="19" t="s">
        <v>181</v>
      </c>
      <c r="B139" s="19" t="s">
        <v>163</v>
      </c>
      <c r="C139" s="35">
        <v>-4.4270656417197601E-2</v>
      </c>
      <c r="D139" s="172">
        <v>7.72223500971886E-2</v>
      </c>
      <c r="E139" s="53">
        <v>-4.4900909722977601E-3</v>
      </c>
      <c r="F139" s="212">
        <v>1.1046367772325901E-2</v>
      </c>
      <c r="G139" s="95">
        <v>-5.3505183321155302E-2</v>
      </c>
      <c r="H139" s="285">
        <v>-6.1463707608334403E-2</v>
      </c>
      <c r="I139" s="26">
        <f t="shared" si="0"/>
        <v>-1.257682007491176E-2</v>
      </c>
      <c r="J139" s="27">
        <f t="shared" si="1"/>
        <v>-0.21154680533754958</v>
      </c>
      <c r="K139" s="20">
        <f t="shared" si="2"/>
        <v>1.1739368078013501</v>
      </c>
      <c r="L139" s="28">
        <f t="shared" si="3"/>
        <v>0.40202265652510472</v>
      </c>
      <c r="M139" s="29">
        <f t="shared" si="4"/>
        <v>0.1977544381010154</v>
      </c>
      <c r="N139" s="30">
        <f t="shared" si="5"/>
        <v>-0.44998037579395112</v>
      </c>
      <c r="O139" s="31">
        <f t="shared" si="6"/>
        <v>-0.55061701518609607</v>
      </c>
      <c r="P139" s="26">
        <f t="shared" si="7"/>
        <v>9.3594951018312278E-2</v>
      </c>
      <c r="Q139" s="6">
        <v>0.41596106774062802</v>
      </c>
      <c r="R139" s="6">
        <v>0.119444763078459</v>
      </c>
      <c r="S139" s="6">
        <v>0.34335115002358502</v>
      </c>
      <c r="T139" s="6">
        <v>0.42136619879999998</v>
      </c>
      <c r="U139" s="6">
        <v>0.32583316556162401</v>
      </c>
      <c r="V139" s="6">
        <v>0.290332546306317</v>
      </c>
    </row>
    <row r="140" spans="1:22" ht="15.75" customHeight="1" x14ac:dyDescent="0.3">
      <c r="A140" s="19" t="s">
        <v>182</v>
      </c>
      <c r="B140" s="19" t="s">
        <v>163</v>
      </c>
      <c r="C140" s="42">
        <v>-3.98855354111875E-2</v>
      </c>
      <c r="D140" s="46">
        <v>9.3870739686515402E-4</v>
      </c>
      <c r="E140" s="282">
        <v>-3.16434373260987E-2</v>
      </c>
      <c r="F140" s="42">
        <v>3.12198502291221E-2</v>
      </c>
      <c r="G140" s="95">
        <v>-2.83273903574685E-2</v>
      </c>
      <c r="H140" s="112">
        <v>-6.03537687054806E-2</v>
      </c>
      <c r="I140" s="26">
        <f t="shared" si="0"/>
        <v>-2.1341929029041338E-2</v>
      </c>
      <c r="J140" s="27">
        <f t="shared" si="1"/>
        <v>-0.15362909573001168</v>
      </c>
      <c r="K140" s="20">
        <f t="shared" si="2"/>
        <v>0.21159820538665047</v>
      </c>
      <c r="L140" s="28">
        <f t="shared" si="3"/>
        <v>3.1649602355169497E-2</v>
      </c>
      <c r="M140" s="29">
        <f t="shared" si="4"/>
        <v>0.44775140871644997</v>
      </c>
      <c r="N140" s="30">
        <f t="shared" si="5"/>
        <v>-0.13042775688824421</v>
      </c>
      <c r="O140" s="31">
        <f t="shared" si="6"/>
        <v>-0.53652845907849422</v>
      </c>
      <c r="P140" s="26">
        <f t="shared" si="7"/>
        <v>-2.1597682539746688E-2</v>
      </c>
      <c r="Q140" s="6">
        <v>0.43875348552272597</v>
      </c>
      <c r="R140" s="6">
        <v>0.41594095345705301</v>
      </c>
      <c r="S140" s="6">
        <v>0.48733456838069</v>
      </c>
      <c r="T140" s="6">
        <v>0.32663927013399402</v>
      </c>
      <c r="U140" s="6">
        <v>0.44794568017858399</v>
      </c>
      <c r="V140" s="6">
        <v>0.29519223582135301</v>
      </c>
    </row>
    <row r="141" spans="1:22" ht="15.75" customHeight="1" x14ac:dyDescent="0.3">
      <c r="A141" s="19" t="s">
        <v>183</v>
      </c>
      <c r="B141" s="19" t="s">
        <v>163</v>
      </c>
      <c r="C141" s="274">
        <v>9.1134253950992707E-3</v>
      </c>
      <c r="D141" s="152">
        <v>0.114676931423022</v>
      </c>
      <c r="E141" s="114">
        <v>-5.4264132603598402E-3</v>
      </c>
      <c r="F141" s="249">
        <v>4.9516729666681303E-2</v>
      </c>
      <c r="G141" s="120">
        <v>-1.9393334789708699E-2</v>
      </c>
      <c r="H141" s="23">
        <v>-5.8318880716915301E-2</v>
      </c>
      <c r="I141" s="26">
        <f t="shared" si="0"/>
        <v>1.5028076286303121E-2</v>
      </c>
      <c r="J141" s="27">
        <f t="shared" si="1"/>
        <v>0.49353835510204197</v>
      </c>
      <c r="K141" s="20">
        <f t="shared" si="2"/>
        <v>1.6464363918698151</v>
      </c>
      <c r="L141" s="28">
        <f t="shared" si="3"/>
        <v>0.38925117189855551</v>
      </c>
      <c r="M141" s="29">
        <f t="shared" si="4"/>
        <v>0.67449284718160984</v>
      </c>
      <c r="N141" s="30">
        <f t="shared" si="5"/>
        <v>-1.7038117921703455E-2</v>
      </c>
      <c r="O141" s="31">
        <f t="shared" si="6"/>
        <v>-0.51069943954789099</v>
      </c>
      <c r="P141" s="26">
        <f t="shared" si="7"/>
        <v>0.44599686809707134</v>
      </c>
      <c r="Q141" s="6">
        <v>0.31024761543034501</v>
      </c>
      <c r="R141" s="41">
        <v>4.9286834403296197E-2</v>
      </c>
      <c r="S141" s="6">
        <v>0.34807560474487698</v>
      </c>
      <c r="T141" s="6">
        <v>0.249300226355712</v>
      </c>
      <c r="U141" s="6">
        <v>0.49318092948930498</v>
      </c>
      <c r="V141" s="6">
        <v>0.30419755504771001</v>
      </c>
    </row>
    <row r="142" spans="1:22" ht="15.75" customHeight="1" x14ac:dyDescent="0.3">
      <c r="A142" s="19" t="s">
        <v>184</v>
      </c>
      <c r="B142" s="19" t="s">
        <v>163</v>
      </c>
      <c r="C142" s="130">
        <v>-2.12011067768836E-2</v>
      </c>
      <c r="D142" s="33">
        <v>1.7260657974636998E-2</v>
      </c>
      <c r="E142" s="246">
        <v>-1.8066764149198101E-2</v>
      </c>
      <c r="F142" s="42">
        <v>4.2104147740695798E-2</v>
      </c>
      <c r="G142" s="92">
        <v>-4.6311528188673297E-2</v>
      </c>
      <c r="H142" s="131">
        <v>-5.8133890899773E-2</v>
      </c>
      <c r="I142" s="26">
        <f t="shared" si="0"/>
        <v>-1.4058080716532534E-2</v>
      </c>
      <c r="J142" s="27">
        <f t="shared" si="1"/>
        <v>9.315071042384529E-2</v>
      </c>
      <c r="K142" s="20">
        <f t="shared" si="2"/>
        <v>0.41750398743483996</v>
      </c>
      <c r="L142" s="28">
        <f t="shared" si="3"/>
        <v>0.21683612944013886</v>
      </c>
      <c r="M142" s="29">
        <f t="shared" si="4"/>
        <v>0.58263349518803254</v>
      </c>
      <c r="N142" s="30">
        <f t="shared" si="5"/>
        <v>-0.35867962753517696</v>
      </c>
      <c r="O142" s="31">
        <f t="shared" si="6"/>
        <v>-0.50835134686329086</v>
      </c>
      <c r="P142" s="26">
        <f t="shared" si="7"/>
        <v>7.3848891348064813E-2</v>
      </c>
      <c r="Q142" s="6">
        <v>0.46277119646091902</v>
      </c>
      <c r="R142" s="6">
        <v>0.33765697576279302</v>
      </c>
      <c r="S142" s="6">
        <v>0.41389237012809199</v>
      </c>
      <c r="T142" s="6">
        <v>0.279430405638674</v>
      </c>
      <c r="U142" s="6">
        <v>0.35947970195462198</v>
      </c>
      <c r="V142" s="6">
        <v>0.305022255975336</v>
      </c>
    </row>
    <row r="143" spans="1:22" ht="15.75" customHeight="1" x14ac:dyDescent="0.3">
      <c r="A143" s="19" t="s">
        <v>185</v>
      </c>
      <c r="B143" s="19" t="s">
        <v>163</v>
      </c>
      <c r="C143" s="21">
        <v>1.14013146156262E-2</v>
      </c>
      <c r="D143" s="113">
        <v>9.37161106810422E-2</v>
      </c>
      <c r="E143" s="266">
        <v>-1.57259584290429E-2</v>
      </c>
      <c r="F143" s="209">
        <v>8.7236450353342099E-2</v>
      </c>
      <c r="G143" s="158">
        <v>3.9280310430151004E-3</v>
      </c>
      <c r="H143" s="87">
        <v>-5.5359043642638502E-2</v>
      </c>
      <c r="I143" s="26">
        <f t="shared" si="0"/>
        <v>2.0866150770224034E-2</v>
      </c>
      <c r="J143" s="27">
        <f t="shared" si="1"/>
        <v>0.52375629054945205</v>
      </c>
      <c r="K143" s="20">
        <f t="shared" si="2"/>
        <v>1.3820100191342566</v>
      </c>
      <c r="L143" s="28">
        <f t="shared" si="3"/>
        <v>0.24876484100651186</v>
      </c>
      <c r="M143" s="29">
        <f t="shared" si="4"/>
        <v>1.1419290434020968</v>
      </c>
      <c r="N143" s="30">
        <f t="shared" si="5"/>
        <v>0.27895301756238555</v>
      </c>
      <c r="O143" s="31">
        <f t="shared" si="6"/>
        <v>-0.47312995659428642</v>
      </c>
      <c r="P143" s="26">
        <f t="shared" si="7"/>
        <v>0.51704720917673608</v>
      </c>
      <c r="Q143" s="6">
        <v>0.29962994563349898</v>
      </c>
      <c r="R143" s="6">
        <v>8.2794235837436697E-2</v>
      </c>
      <c r="S143" s="6">
        <v>0.40145744699643199</v>
      </c>
      <c r="T143" s="6">
        <v>0.125969014867754</v>
      </c>
      <c r="U143" s="6">
        <v>0.38979125226565398</v>
      </c>
      <c r="V143" s="6">
        <v>0.31750981362015901</v>
      </c>
    </row>
    <row r="144" spans="1:22" ht="15.75" customHeight="1" x14ac:dyDescent="0.3">
      <c r="A144" s="19" t="s">
        <v>186</v>
      </c>
      <c r="B144" s="19" t="s">
        <v>163</v>
      </c>
      <c r="C144" s="87">
        <v>2.8217300386499801E-3</v>
      </c>
      <c r="D144" s="24">
        <v>8.9077240516833397E-2</v>
      </c>
      <c r="E144" s="53">
        <v>-3.0004873321989999E-2</v>
      </c>
      <c r="F144" s="29">
        <v>3.4316245210862802E-2</v>
      </c>
      <c r="G144" s="62">
        <v>-4.8167955319636503E-2</v>
      </c>
      <c r="H144" s="176">
        <v>-5.29541760197886E-2</v>
      </c>
      <c r="I144" s="26">
        <f t="shared" si="0"/>
        <v>-8.1863148251148704E-4</v>
      </c>
      <c r="J144" s="27">
        <f t="shared" si="1"/>
        <v>0.41043903262166131</v>
      </c>
      <c r="K144" s="20">
        <f t="shared" si="2"/>
        <v>1.323489428446877</v>
      </c>
      <c r="L144" s="28">
        <f t="shared" si="3"/>
        <v>5.3999700451631431E-2</v>
      </c>
      <c r="M144" s="29">
        <f t="shared" si="4"/>
        <v>0.48612303676439905</v>
      </c>
      <c r="N144" s="30">
        <f t="shared" si="5"/>
        <v>-0.38224111095679747</v>
      </c>
      <c r="O144" s="31">
        <f t="shared" si="6"/>
        <v>-0.44260475169448266</v>
      </c>
      <c r="P144" s="26">
        <f t="shared" si="7"/>
        <v>0.2415342226055481</v>
      </c>
      <c r="Q144" s="6">
        <v>0.34025101820953901</v>
      </c>
      <c r="R144" s="6">
        <v>9.2120852157028005E-2</v>
      </c>
      <c r="S144" s="6">
        <v>0.478397517658042</v>
      </c>
      <c r="T144" s="6">
        <v>0.31287795725906797</v>
      </c>
      <c r="U144" s="6">
        <v>0.35067889761445398</v>
      </c>
      <c r="V144" s="6">
        <v>0.328503645140651</v>
      </c>
    </row>
    <row r="145" spans="1:22" ht="15.75" customHeight="1" x14ac:dyDescent="0.3">
      <c r="A145" s="19" t="s">
        <v>187</v>
      </c>
      <c r="B145" s="19" t="s">
        <v>163</v>
      </c>
      <c r="C145" s="125">
        <v>-2.7302144698288899E-2</v>
      </c>
      <c r="D145" s="35">
        <v>0.102564325994255</v>
      </c>
      <c r="E145" s="54">
        <v>3.28457602641785E-2</v>
      </c>
      <c r="F145" s="64">
        <v>1.9303421056968001E-2</v>
      </c>
      <c r="G145" s="180">
        <v>-3.93499264475618E-2</v>
      </c>
      <c r="H145" s="136">
        <v>-5.0734298214081E-2</v>
      </c>
      <c r="I145" s="26">
        <f t="shared" si="0"/>
        <v>6.2211896592449687E-3</v>
      </c>
      <c r="J145" s="27">
        <f t="shared" si="1"/>
        <v>1.2569549230749872E-2</v>
      </c>
      <c r="K145" s="20">
        <f t="shared" si="2"/>
        <v>1.493632627297218</v>
      </c>
      <c r="L145" s="28">
        <f t="shared" si="3"/>
        <v>0.91128560600876507</v>
      </c>
      <c r="M145" s="29">
        <f t="shared" si="4"/>
        <v>0.30007877956221574</v>
      </c>
      <c r="N145" s="30">
        <f t="shared" si="5"/>
        <v>-0.27032406470410669</v>
      </c>
      <c r="O145" s="31">
        <f t="shared" si="6"/>
        <v>-0.41442763947927924</v>
      </c>
      <c r="P145" s="26">
        <f t="shared" si="7"/>
        <v>0.33880247631926047</v>
      </c>
      <c r="Q145" s="6">
        <v>0.49496924805765602</v>
      </c>
      <c r="R145" s="6">
        <v>6.70009395438943E-2</v>
      </c>
      <c r="S145" s="6">
        <v>0.18029043343482801</v>
      </c>
      <c r="T145" s="6">
        <v>0.38168519765453601</v>
      </c>
      <c r="U145" s="6">
        <v>0.39311628469280702</v>
      </c>
      <c r="V145" s="6">
        <v>0.33878558082930599</v>
      </c>
    </row>
    <row r="146" spans="1:22" ht="15.75" customHeight="1" x14ac:dyDescent="0.3">
      <c r="A146" s="19" t="s">
        <v>188</v>
      </c>
      <c r="B146" s="19" t="s">
        <v>163</v>
      </c>
      <c r="C146" s="198">
        <v>-6.2001797876282003E-2</v>
      </c>
      <c r="D146" s="27">
        <v>9.1568485605019595E-2</v>
      </c>
      <c r="E146" s="122">
        <v>-2.1812053301446602E-2</v>
      </c>
      <c r="F146" s="69">
        <v>4.08843557781918E-2</v>
      </c>
      <c r="G146" s="54">
        <v>-6.2671292280285604E-2</v>
      </c>
      <c r="H146" s="26">
        <v>-4.9439369494084902E-2</v>
      </c>
      <c r="I146" s="26">
        <f t="shared" si="0"/>
        <v>-1.0578611928147954E-2</v>
      </c>
      <c r="J146" s="27">
        <f t="shared" si="1"/>
        <v>-0.4457358050549865</v>
      </c>
      <c r="K146" s="20">
        <f t="shared" si="2"/>
        <v>1.3549171530752846</v>
      </c>
      <c r="L146" s="28">
        <f t="shared" si="3"/>
        <v>0.16575019093393958</v>
      </c>
      <c r="M146" s="29">
        <f t="shared" si="4"/>
        <v>0.5675173992903545</v>
      </c>
      <c r="N146" s="30">
        <f t="shared" si="5"/>
        <v>-0.56631520018819581</v>
      </c>
      <c r="O146" s="31">
        <f t="shared" si="6"/>
        <v>-0.39799099068707716</v>
      </c>
      <c r="P146" s="26">
        <f t="shared" si="7"/>
        <v>0.11302379122821989</v>
      </c>
      <c r="Q146" s="6">
        <v>0.327368909605603</v>
      </c>
      <c r="R146" s="6">
        <v>8.7019789480646204E-2</v>
      </c>
      <c r="S146" s="6">
        <v>0.43396398363157501</v>
      </c>
      <c r="T146" s="6">
        <v>0.28455287131972201</v>
      </c>
      <c r="U146" s="6">
        <v>0.28496218391556399</v>
      </c>
      <c r="V146" s="6">
        <v>0.34483995275672102</v>
      </c>
    </row>
    <row r="147" spans="1:22" ht="15.75" customHeight="1" x14ac:dyDescent="0.3">
      <c r="A147" s="19" t="s">
        <v>189</v>
      </c>
      <c r="B147" s="19" t="s">
        <v>163</v>
      </c>
      <c r="C147" s="126">
        <v>-2.9590033918816001E-2</v>
      </c>
      <c r="D147" s="22">
        <v>2.6366588296972901E-2</v>
      </c>
      <c r="E147" s="102">
        <v>-6.6755523128427502E-2</v>
      </c>
      <c r="F147" s="60">
        <v>3.1595170832969401E-2</v>
      </c>
      <c r="G147" s="69">
        <v>-7.1257267760989798E-2</v>
      </c>
      <c r="H147" s="99">
        <v>-4.6109552785523499E-2</v>
      </c>
      <c r="I147" s="26">
        <f t="shared" si="0"/>
        <v>-2.5958436410635749E-2</v>
      </c>
      <c r="J147" s="27">
        <f t="shared" si="1"/>
        <v>-1.7648386216662416E-2</v>
      </c>
      <c r="K147" s="20">
        <f t="shared" si="2"/>
        <v>0.53237773952488288</v>
      </c>
      <c r="L147" s="28">
        <f t="shared" si="3"/>
        <v>-0.44728107114043636</v>
      </c>
      <c r="M147" s="29">
        <f t="shared" si="4"/>
        <v>0.45240251514650376</v>
      </c>
      <c r="N147" s="30">
        <f t="shared" si="5"/>
        <v>-0.6752870610131827</v>
      </c>
      <c r="O147" s="31">
        <f t="shared" si="6"/>
        <v>-0.35572532236427196</v>
      </c>
      <c r="P147" s="26">
        <f t="shared" si="7"/>
        <v>-8.5193597677194477E-2</v>
      </c>
      <c r="Q147" s="6">
        <v>0.49293671030880898</v>
      </c>
      <c r="R147" s="6">
        <v>0.29663108912006497</v>
      </c>
      <c r="S147" s="6">
        <v>0.32680947105227598</v>
      </c>
      <c r="T147" s="6">
        <v>0.32495812264173801</v>
      </c>
      <c r="U147" s="6">
        <v>0.24904746524479199</v>
      </c>
      <c r="V147" s="6">
        <v>0.36058860158328299</v>
      </c>
    </row>
    <row r="148" spans="1:22" ht="15.75" customHeight="1" x14ac:dyDescent="0.3">
      <c r="A148" s="19" t="s">
        <v>190</v>
      </c>
      <c r="B148" s="19" t="s">
        <v>163</v>
      </c>
      <c r="C148" s="61">
        <v>-2.3488995997410601E-2</v>
      </c>
      <c r="D148" s="31">
        <v>1.8549233020250602E-2</v>
      </c>
      <c r="E148" s="120">
        <v>-3.8431773914548897E-2</v>
      </c>
      <c r="F148" s="95">
        <v>2.69036632848773E-2</v>
      </c>
      <c r="G148" s="286">
        <v>-3.3432564967616998E-2</v>
      </c>
      <c r="H148" s="131">
        <v>-3.5195153574127697E-2</v>
      </c>
      <c r="I148" s="26">
        <f t="shared" si="0"/>
        <v>-1.4182598691429382E-2</v>
      </c>
      <c r="J148" s="27">
        <f t="shared" si="1"/>
        <v>6.2932774976434333E-2</v>
      </c>
      <c r="K148" s="20">
        <f t="shared" si="2"/>
        <v>0.43375970707022371</v>
      </c>
      <c r="L148" s="28">
        <f t="shared" si="3"/>
        <v>-6.0943661187313786E-2</v>
      </c>
      <c r="M148" s="29">
        <f t="shared" si="4"/>
        <v>0.39426368477082174</v>
      </c>
      <c r="N148" s="30">
        <f t="shared" si="5"/>
        <v>-0.1952218362976966</v>
      </c>
      <c r="O148" s="31">
        <f t="shared" si="6"/>
        <v>-0.21718785397285356</v>
      </c>
      <c r="P148" s="26">
        <f t="shared" si="7"/>
        <v>6.9600469226602638E-2</v>
      </c>
      <c r="Q148" s="6">
        <v>0.47482826662887001</v>
      </c>
      <c r="R148" s="6">
        <v>0.331717735036543</v>
      </c>
      <c r="S148" s="6">
        <v>0.47562286152482303</v>
      </c>
      <c r="T148" s="6">
        <v>0.34621850352692402</v>
      </c>
      <c r="U148" s="6">
        <v>0.42236035170242098</v>
      </c>
      <c r="V148" s="6">
        <v>0.41375489182772002</v>
      </c>
    </row>
    <row r="149" spans="1:22" ht="15.75" customHeight="1" x14ac:dyDescent="0.3">
      <c r="A149" s="19" t="s">
        <v>191</v>
      </c>
      <c r="B149" s="19" t="s">
        <v>163</v>
      </c>
      <c r="C149" s="171">
        <v>-1.92945324264444E-2</v>
      </c>
      <c r="D149" s="110">
        <v>6.5968794698830005E-2</v>
      </c>
      <c r="E149" s="173">
        <v>-2.8015188459857999E-2</v>
      </c>
      <c r="F149" s="103">
        <v>5.3926746761888002E-2</v>
      </c>
      <c r="G149" s="144">
        <v>-4.8632062102377201E-2</v>
      </c>
      <c r="H149" s="111">
        <v>-2.4095764545589701E-2</v>
      </c>
      <c r="I149" s="26">
        <f t="shared" si="0"/>
        <v>-2.36676789252156E-5</v>
      </c>
      <c r="J149" s="27">
        <f t="shared" si="1"/>
        <v>0.11833232329668818</v>
      </c>
      <c r="K149" s="20">
        <f t="shared" si="2"/>
        <v>1.0319701896523339</v>
      </c>
      <c r="L149" s="28">
        <f t="shared" si="3"/>
        <v>8.1139105283049559E-2</v>
      </c>
      <c r="M149" s="29">
        <f t="shared" si="4"/>
        <v>0.72914334773475253</v>
      </c>
      <c r="N149" s="30">
        <f t="shared" si="5"/>
        <v>-0.38813148181220131</v>
      </c>
      <c r="O149" s="31">
        <f t="shared" si="6"/>
        <v>-7.6302292896836252E-2</v>
      </c>
      <c r="P149" s="26">
        <f t="shared" si="7"/>
        <v>0.24935853187629778</v>
      </c>
      <c r="Q149" s="6">
        <v>0.45274922910994603</v>
      </c>
      <c r="R149" s="6">
        <v>0.15025574338012701</v>
      </c>
      <c r="S149" s="6">
        <v>0.46756040011069899</v>
      </c>
      <c r="T149" s="6">
        <v>0.23223009786350199</v>
      </c>
      <c r="U149" s="6">
        <v>0.34849094238401701</v>
      </c>
      <c r="V149" s="6">
        <v>0.46949027468316101</v>
      </c>
    </row>
    <row r="150" spans="1:22" ht="15.75" customHeight="1" x14ac:dyDescent="0.3">
      <c r="A150" s="19" t="s">
        <v>192</v>
      </c>
      <c r="B150" s="19" t="s">
        <v>163</v>
      </c>
      <c r="C150" s="140">
        <v>2.9704428379842301E-2</v>
      </c>
      <c r="D150" s="105">
        <v>5.3856189270062402E-2</v>
      </c>
      <c r="E150" s="227">
        <v>1.6108999365068401E-2</v>
      </c>
      <c r="F150" s="64">
        <v>5.5521859328239297E-2</v>
      </c>
      <c r="G150" s="287">
        <v>6.3645916524040901E-3</v>
      </c>
      <c r="H150" s="84">
        <v>-1.3921324602763199E-2</v>
      </c>
      <c r="I150" s="26">
        <f t="shared" si="0"/>
        <v>2.4605790565475544E-2</v>
      </c>
      <c r="J150" s="27">
        <f t="shared" si="1"/>
        <v>0.76549977412874093</v>
      </c>
      <c r="K150" s="20">
        <f t="shared" si="2"/>
        <v>0.87916642507972909</v>
      </c>
      <c r="L150" s="28">
        <f t="shared" si="3"/>
        <v>0.68299531830919258</v>
      </c>
      <c r="M150" s="29">
        <f t="shared" si="4"/>
        <v>0.74891055006248408</v>
      </c>
      <c r="N150" s="30">
        <f t="shared" si="5"/>
        <v>0.30987746455325971</v>
      </c>
      <c r="O150" s="31">
        <f t="shared" si="6"/>
        <v>5.2842804756179675E-2</v>
      </c>
      <c r="P150" s="26">
        <f t="shared" si="7"/>
        <v>0.57321538948159756</v>
      </c>
      <c r="Q150" s="6">
        <v>0.22124438467023999</v>
      </c>
      <c r="R150" s="6">
        <v>0.18887898385553201</v>
      </c>
      <c r="S150" s="6">
        <v>0.24660138723805</v>
      </c>
      <c r="T150" s="6">
        <v>0.22621982415420699</v>
      </c>
      <c r="U150" s="6">
        <v>0.37794269868296398</v>
      </c>
      <c r="V150" s="6">
        <v>0.47885989350515701</v>
      </c>
    </row>
    <row r="151" spans="1:22" ht="15.75" customHeight="1" x14ac:dyDescent="0.3">
      <c r="A151" s="19" t="s">
        <v>193</v>
      </c>
      <c r="B151" s="19" t="s">
        <v>163</v>
      </c>
      <c r="C151" s="105">
        <v>-2.8789272691631399E-2</v>
      </c>
      <c r="D151" s="105">
        <v>-2.47182535113517E-2</v>
      </c>
      <c r="E151" s="75">
        <v>-3.1385948696881598E-2</v>
      </c>
      <c r="F151" s="87">
        <v>5.9275065366713002E-2</v>
      </c>
      <c r="G151" s="134">
        <v>3.3050731659998403E-2</v>
      </c>
      <c r="H151" s="133">
        <v>2.0116801751419999E-2</v>
      </c>
      <c r="I151" s="26">
        <f t="shared" si="0"/>
        <v>4.5915206463777829E-3</v>
      </c>
      <c r="J151" s="27">
        <f t="shared" si="1"/>
        <v>-7.0721088100665829E-3</v>
      </c>
      <c r="K151" s="20">
        <f t="shared" si="2"/>
        <v>-0.1120712344645393</v>
      </c>
      <c r="L151" s="28">
        <f t="shared" si="3"/>
        <v>3.5161760627470937E-2</v>
      </c>
      <c r="M151" s="29">
        <f t="shared" si="4"/>
        <v>0.79542161436303005</v>
      </c>
      <c r="N151" s="30">
        <f t="shared" si="5"/>
        <v>0.64857378873903204</v>
      </c>
      <c r="O151" s="31">
        <f t="shared" si="6"/>
        <v>0.48489185872263285</v>
      </c>
      <c r="P151" s="26">
        <f t="shared" si="7"/>
        <v>0.30748427986292665</v>
      </c>
      <c r="Q151" s="6">
        <v>0.49716945540844398</v>
      </c>
      <c r="R151" s="6">
        <v>0.455238505829892</v>
      </c>
      <c r="S151" s="6">
        <v>0.48592963847152998</v>
      </c>
      <c r="T151" s="6">
        <v>0.21243037112146501</v>
      </c>
      <c r="U151" s="6">
        <v>0.257623355405182</v>
      </c>
      <c r="V151" s="6">
        <v>0.31331560592104601</v>
      </c>
    </row>
    <row r="152" spans="1:22" ht="15.75" customHeight="1" x14ac:dyDescent="0.3">
      <c r="A152" s="19" t="s">
        <v>194</v>
      </c>
      <c r="B152" s="19" t="s">
        <v>195</v>
      </c>
      <c r="C152" s="27">
        <v>-1.06768163624594E-2</v>
      </c>
      <c r="D152" s="288">
        <v>-1.06522203770722E-2</v>
      </c>
      <c r="E152" s="216">
        <v>6.3669915588222895E-2</v>
      </c>
      <c r="F152" s="130">
        <v>4.0346964913592197E-3</v>
      </c>
      <c r="G152" s="35">
        <v>1.2762936525370901E-3</v>
      </c>
      <c r="H152" s="126">
        <v>5.8086802582682298E-2</v>
      </c>
      <c r="I152" s="26">
        <f t="shared" si="0"/>
        <v>1.7623111929211652E-2</v>
      </c>
      <c r="J152" s="27">
        <f t="shared" si="1"/>
        <v>0.23215321348193568</v>
      </c>
      <c r="K152" s="20">
        <f t="shared" si="2"/>
        <v>6.5375544278552855E-2</v>
      </c>
      <c r="L152" s="28">
        <f t="shared" si="3"/>
        <v>1.3317286851350589</v>
      </c>
      <c r="M152" s="29">
        <f t="shared" si="4"/>
        <v>0.11086331343045139</v>
      </c>
      <c r="N152" s="30">
        <f t="shared" si="5"/>
        <v>0.24529758044764047</v>
      </c>
      <c r="O152" s="31">
        <f t="shared" si="6"/>
        <v>0.96684855538540904</v>
      </c>
      <c r="P152" s="26">
        <f t="shared" si="7"/>
        <v>0.49204448202650802</v>
      </c>
      <c r="Q152" s="6">
        <v>0.40791539475895799</v>
      </c>
      <c r="R152" s="6">
        <v>0.47385258643315098</v>
      </c>
      <c r="S152" s="6">
        <v>9.0762600555252607E-2</v>
      </c>
      <c r="T152" s="6">
        <v>0.45571895511324301</v>
      </c>
      <c r="U152" s="6">
        <v>0.40280322396250701</v>
      </c>
      <c r="V152" s="6">
        <v>0.166022487119837</v>
      </c>
    </row>
    <row r="153" spans="1:22" ht="15.75" customHeight="1" x14ac:dyDescent="0.3">
      <c r="A153" s="19" t="s">
        <v>196</v>
      </c>
      <c r="B153" s="289" t="s">
        <v>197</v>
      </c>
      <c r="C153" s="75">
        <v>-4.3508026677021902E-2</v>
      </c>
      <c r="D153" s="73">
        <v>-3.8835309011073703E-2</v>
      </c>
      <c r="E153" s="166">
        <v>-3.9016975344587798E-2</v>
      </c>
      <c r="F153" s="169">
        <v>7.8322586011966996E-2</v>
      </c>
      <c r="G153" s="249">
        <v>-4.0510193404413697E-2</v>
      </c>
      <c r="H153" s="23">
        <v>-7.5522933711149196E-2</v>
      </c>
      <c r="I153" s="26">
        <f t="shared" si="0"/>
        <v>-2.6511808689379884E-2</v>
      </c>
      <c r="J153" s="27">
        <f t="shared" si="1"/>
        <v>-0.20147416018841216</v>
      </c>
      <c r="K153" s="20">
        <f t="shared" si="2"/>
        <v>-0.29016167402551768</v>
      </c>
      <c r="L153" s="28">
        <f t="shared" si="3"/>
        <v>-6.892583907890841E-2</v>
      </c>
      <c r="M153" s="29">
        <f t="shared" si="4"/>
        <v>1.0314652656882997</v>
      </c>
      <c r="N153" s="30">
        <f t="shared" si="5"/>
        <v>-0.28504999184261814</v>
      </c>
      <c r="O153" s="31">
        <f t="shared" si="6"/>
        <v>-0.72907205921571794</v>
      </c>
      <c r="P153" s="26">
        <f t="shared" si="7"/>
        <v>-9.0536409777145777E-2</v>
      </c>
      <c r="Q153" s="6">
        <v>0.419906961271379</v>
      </c>
      <c r="R153" s="6">
        <v>0.38548421918265502</v>
      </c>
      <c r="S153" s="6">
        <v>0.47243482442210999</v>
      </c>
      <c r="T153" s="6">
        <v>0.15037402014675799</v>
      </c>
      <c r="U153" s="6">
        <v>0.38744671584923801</v>
      </c>
      <c r="V153" s="6">
        <v>0.232251932943009</v>
      </c>
    </row>
    <row r="154" spans="1:22" ht="15.75" customHeight="1" x14ac:dyDescent="0.3">
      <c r="A154" s="19" t="s">
        <v>198</v>
      </c>
      <c r="B154" s="289" t="s">
        <v>197</v>
      </c>
      <c r="C154" s="21">
        <v>-2.13917642119275E-2</v>
      </c>
      <c r="D154" s="28">
        <v>-3.6945398944173799E-2</v>
      </c>
      <c r="E154" s="103">
        <v>-5.9499025395946203E-2</v>
      </c>
      <c r="F154" s="88">
        <v>1.14216883761733E-2</v>
      </c>
      <c r="G154" s="60">
        <v>-1.6492667397578799E-2</v>
      </c>
      <c r="H154" s="115">
        <v>-5.4804074191211499E-2</v>
      </c>
      <c r="I154" s="26">
        <f t="shared" si="0"/>
        <v>-2.9618540294110748E-2</v>
      </c>
      <c r="J154" s="27">
        <f t="shared" si="1"/>
        <v>9.0632549136561255E-2</v>
      </c>
      <c r="K154" s="20">
        <f t="shared" si="2"/>
        <v>-0.26631995189362201</v>
      </c>
      <c r="L154" s="28">
        <f t="shared" si="3"/>
        <v>-0.34830206528467761</v>
      </c>
      <c r="M154" s="29">
        <f t="shared" si="4"/>
        <v>0.20240554453107032</v>
      </c>
      <c r="N154" s="30">
        <f t="shared" si="5"/>
        <v>1.9776699924577222E-2</v>
      </c>
      <c r="O154" s="31">
        <f t="shared" si="6"/>
        <v>-0.46608567854048433</v>
      </c>
      <c r="P154" s="26">
        <f t="shared" si="7"/>
        <v>-0.1279821503544292</v>
      </c>
      <c r="Q154" s="6">
        <v>0.46377480084123701</v>
      </c>
      <c r="R154" s="6">
        <v>0.394661876039408</v>
      </c>
      <c r="S154" s="6">
        <v>0.36338008442192699</v>
      </c>
      <c r="T154" s="6">
        <v>0.41954175304531399</v>
      </c>
      <c r="U154" s="6">
        <v>0.49208501601514798</v>
      </c>
      <c r="V154" s="6">
        <v>0.32003306022988698</v>
      </c>
    </row>
    <row r="155" spans="1:22" ht="15.75" customHeight="1" x14ac:dyDescent="0.3">
      <c r="A155" s="19" t="s">
        <v>199</v>
      </c>
      <c r="B155" s="289" t="s">
        <v>197</v>
      </c>
      <c r="C155" s="105">
        <v>9.8760551352749509E-3</v>
      </c>
      <c r="D155" s="50">
        <v>2.61088732878502E-2</v>
      </c>
      <c r="E155" s="134">
        <v>-6.12865497640642E-3</v>
      </c>
      <c r="F155" s="138">
        <v>3.0281548719503601E-2</v>
      </c>
      <c r="G155" s="43">
        <v>4.9526522447295898E-2</v>
      </c>
      <c r="H155" s="142">
        <v>0.107616985259728</v>
      </c>
      <c r="I155" s="26">
        <f t="shared" si="0"/>
        <v>3.6213554978874372E-2</v>
      </c>
      <c r="J155" s="27">
        <f t="shared" si="1"/>
        <v>0.50361100025117911</v>
      </c>
      <c r="K155" s="20">
        <f t="shared" si="2"/>
        <v>0.52912659559780628</v>
      </c>
      <c r="L155" s="28">
        <f t="shared" si="3"/>
        <v>0.37967255842864334</v>
      </c>
      <c r="M155" s="29">
        <f t="shared" si="4"/>
        <v>0.43612364264131254</v>
      </c>
      <c r="N155" s="30">
        <f t="shared" si="5"/>
        <v>0.85768195410590198</v>
      </c>
      <c r="O155" s="31">
        <f t="shared" si="6"/>
        <v>1.595539698538571</v>
      </c>
      <c r="P155" s="26">
        <f t="shared" si="7"/>
        <v>0.71695924159390234</v>
      </c>
      <c r="Q155" s="6">
        <v>0.30669018580584301</v>
      </c>
      <c r="R155" s="6">
        <v>0.29776034159672399</v>
      </c>
      <c r="S155" s="6">
        <v>0.35163453452652399</v>
      </c>
      <c r="T155" s="6">
        <v>0.33085750796185598</v>
      </c>
      <c r="U155" s="6">
        <v>0.19476217704461601</v>
      </c>
      <c r="V155" s="6">
        <v>5.47166618883023E-2</v>
      </c>
    </row>
    <row r="156" spans="1:22" ht="15.75" customHeight="1" x14ac:dyDescent="0.3">
      <c r="A156" s="19" t="s">
        <v>200</v>
      </c>
      <c r="B156" s="289" t="s">
        <v>197</v>
      </c>
      <c r="C156" s="129">
        <v>-2.3870310867498402E-2</v>
      </c>
      <c r="D156" s="176">
        <v>-2.2397777156483098E-3</v>
      </c>
      <c r="E156" s="73">
        <v>7.3309779144862799E-3</v>
      </c>
      <c r="F156" s="57">
        <v>6.61246663869276E-2</v>
      </c>
      <c r="G156" s="168">
        <v>3.9316173226998902E-2</v>
      </c>
      <c r="H156" s="104">
        <v>0.13092570221965699</v>
      </c>
      <c r="I156" s="26">
        <f t="shared" si="0"/>
        <v>3.6264571860820514E-2</v>
      </c>
      <c r="J156" s="27">
        <f t="shared" si="1"/>
        <v>5.7896452401866264E-2</v>
      </c>
      <c r="K156" s="20">
        <f t="shared" si="2"/>
        <v>0.17150076361937147</v>
      </c>
      <c r="L156" s="28">
        <f t="shared" si="3"/>
        <v>0.56326264993529207</v>
      </c>
      <c r="M156" s="29">
        <f t="shared" si="4"/>
        <v>0.88030430671152726</v>
      </c>
      <c r="N156" s="30">
        <f t="shared" si="5"/>
        <v>0.72809379528699725</v>
      </c>
      <c r="O156" s="31">
        <f t="shared" si="6"/>
        <v>1.8913993767981974</v>
      </c>
      <c r="P156" s="26">
        <f t="shared" si="7"/>
        <v>0.71540955745887536</v>
      </c>
      <c r="Q156" s="6">
        <v>0.47684032250778702</v>
      </c>
      <c r="R156" s="6">
        <v>0.43169505736727298</v>
      </c>
      <c r="S156" s="6">
        <v>0.28600274516150298</v>
      </c>
      <c r="T156" s="6">
        <v>0.188570476391935</v>
      </c>
      <c r="U156" s="6">
        <v>0.232551682404816</v>
      </c>
      <c r="V156" s="41">
        <v>2.8876351425968901E-2</v>
      </c>
    </row>
    <row r="157" spans="1:22" ht="15.75" customHeight="1" x14ac:dyDescent="0.3">
      <c r="A157" s="19" t="s">
        <v>201</v>
      </c>
      <c r="B157" s="289" t="s">
        <v>197</v>
      </c>
      <c r="C157" s="61">
        <v>3.6568096041423401E-2</v>
      </c>
      <c r="D157" s="27">
        <v>2.8256498363872801E-2</v>
      </c>
      <c r="E157" s="207">
        <v>4.2208983144799497E-2</v>
      </c>
      <c r="F157" s="21">
        <v>9.3523070467785602E-2</v>
      </c>
      <c r="G157" s="227">
        <v>6.8438873843982298E-2</v>
      </c>
      <c r="H157" s="168">
        <v>0.15608431735101</v>
      </c>
      <c r="I157" s="26">
        <f t="shared" si="0"/>
        <v>7.0846639868812275E-2</v>
      </c>
      <c r="J157" s="27">
        <f t="shared" si="1"/>
        <v>0.85615358047097501</v>
      </c>
      <c r="K157" s="20">
        <f t="shared" si="2"/>
        <v>0.55621946165677849</v>
      </c>
      <c r="L157" s="28">
        <f t="shared" si="3"/>
        <v>1.0390004522742597</v>
      </c>
      <c r="M157" s="29">
        <f t="shared" si="4"/>
        <v>1.2198350761055117</v>
      </c>
      <c r="N157" s="30">
        <f t="shared" si="5"/>
        <v>1.097714566463645</v>
      </c>
      <c r="O157" s="31">
        <f t="shared" si="6"/>
        <v>2.2107399819038394</v>
      </c>
      <c r="P157" s="26">
        <f t="shared" si="7"/>
        <v>1.1632771864791682</v>
      </c>
      <c r="Q157" s="6">
        <v>0.195184903172509</v>
      </c>
      <c r="R157" s="6">
        <v>0.28841051133148699</v>
      </c>
      <c r="S157" s="6">
        <v>0.14861536966671901</v>
      </c>
      <c r="T157" s="6">
        <v>0.110511017362536</v>
      </c>
      <c r="U157" s="6">
        <v>0.13538392000574601</v>
      </c>
      <c r="V157" s="41">
        <v>1.3279023518999501E-2</v>
      </c>
    </row>
    <row r="158" spans="1:22" ht="15.75" customHeight="1" x14ac:dyDescent="0.3">
      <c r="A158" s="19" t="s">
        <v>202</v>
      </c>
      <c r="B158" s="19" t="s">
        <v>203</v>
      </c>
      <c r="C158" s="246">
        <v>9.7235291872398606E-3</v>
      </c>
      <c r="D158" s="163">
        <v>-6.38274172593922E-2</v>
      </c>
      <c r="E158" s="72">
        <v>-3.8857374954577098E-2</v>
      </c>
      <c r="F158" s="262">
        <v>-0.107060202247462</v>
      </c>
      <c r="G158" s="77">
        <v>5.3372280015188999E-3</v>
      </c>
      <c r="H158" s="136">
        <v>-3.2373217999902497E-2</v>
      </c>
      <c r="I158" s="26">
        <f t="shared" si="0"/>
        <v>-3.7842909212095842E-2</v>
      </c>
      <c r="J158" s="27">
        <f t="shared" si="1"/>
        <v>0.50159647122135231</v>
      </c>
      <c r="K158" s="20">
        <f t="shared" si="2"/>
        <v>-0.60544381934160307</v>
      </c>
      <c r="L158" s="28">
        <f t="shared" si="3"/>
        <v>-6.674888147210864E-2</v>
      </c>
      <c r="M158" s="29">
        <f t="shared" si="4"/>
        <v>-1.2658641898657015</v>
      </c>
      <c r="N158" s="30">
        <f t="shared" si="5"/>
        <v>0.29683832543243271</v>
      </c>
      <c r="O158" s="31">
        <f t="shared" si="6"/>
        <v>-0.18136876738413366</v>
      </c>
      <c r="P158" s="26">
        <f t="shared" si="7"/>
        <v>-0.22016514356829364</v>
      </c>
      <c r="Q158" s="6">
        <v>0.30740023099392599</v>
      </c>
      <c r="R158" s="6">
        <v>0.27178638434640801</v>
      </c>
      <c r="S158" s="6">
        <v>0.47330412260924998</v>
      </c>
      <c r="T158" s="6">
        <v>0.102043336780386</v>
      </c>
      <c r="U158" s="6">
        <v>0.38292531007002301</v>
      </c>
      <c r="V158" s="6">
        <v>0.42780685828801801</v>
      </c>
    </row>
    <row r="159" spans="1:22" ht="15.75" customHeight="1" x14ac:dyDescent="0.25"/>
    <row r="160" spans="1:22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autoFilter ref="A4:V158" xr:uid="{00000000-0009-0000-0000-000003000000}">
    <sortState xmlns:xlrd2="http://schemas.microsoft.com/office/spreadsheetml/2017/richdata2" ref="A4:V158">
      <sortCondition ref="B4:B158"/>
    </sortState>
  </autoFilter>
  <conditionalFormatting sqref="C5:C15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:D100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21:E15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21:F158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D15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5:E15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5:F158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5:G158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:H158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158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4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5:J158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5:K158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5:K158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5:L158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5:M158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5:N158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:O158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5:P158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25" right="0.25" top="0.25" bottom="0.2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2020-06-15T14:02:11Z</dcterms:created>
  <dcterms:modified xsi:type="dcterms:W3CDTF">2020-06-15T14:02:33Z</dcterms:modified>
</cp:coreProperties>
</file>