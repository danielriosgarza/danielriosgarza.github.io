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dutilh/Documents/students/PhD_students/Daniel_Garza/bottomup_ecology/"/>
    </mc:Choice>
  </mc:AlternateContent>
  <bookViews>
    <workbookView xWindow="0" yWindow="460" windowWidth="28040" windowHeight="1754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77" i="1" l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<sst xmlns="http://schemas.openxmlformats.org/spreadsheetml/2006/main" count="369" uniqueCount="192">
  <si>
    <t>Saliva_Dame</t>
  </si>
  <si>
    <t>Saliva_Sugimoto</t>
  </si>
  <si>
    <t>Saliva_Tsuruoka</t>
  </si>
  <si>
    <t>FecalWater_Gao</t>
  </si>
  <si>
    <t>FecalIncubator_Kortman</t>
  </si>
  <si>
    <t>Vaginal_Viteli</t>
  </si>
  <si>
    <t>mouth</t>
  </si>
  <si>
    <t>subgingival_plaque_SRS014107</t>
  </si>
  <si>
    <t>saliva_SRS014468</t>
  </si>
  <si>
    <t>attached_keratinized_gingiva_SRS014473</t>
  </si>
  <si>
    <t>palatine_tonsils_SRS014474</t>
  </si>
  <si>
    <t>attached_keratinized_gingiva_SRS014687</t>
  </si>
  <si>
    <t>throat_SRS014689</t>
  </si>
  <si>
    <t>buccal_mucosa_SRS014890</t>
  </si>
  <si>
    <t>saliva_SRS015055</t>
  </si>
  <si>
    <t>buccal_mucosa_SRS015059</t>
  </si>
  <si>
    <t>attached_keratinized_gingiva_SRS015060</t>
  </si>
  <si>
    <t>buccal_mucosa_SRS015799</t>
  </si>
  <si>
    <t>buccal_mucosa_SRS015895</t>
  </si>
  <si>
    <t>buccal_mucosa_SRS015921</t>
  </si>
  <si>
    <t>supragingival_plaque_SRS017511</t>
  </si>
  <si>
    <t>buccal_mucosa_SRS017687</t>
  </si>
  <si>
    <t>buccal_mucosa_SRS018569</t>
  </si>
  <si>
    <t>subgingival_plaque_SRS019029</t>
  </si>
  <si>
    <t>saliva_SRS019120</t>
  </si>
  <si>
    <t>palatine_tonsils_SRS019126</t>
  </si>
  <si>
    <t>throat_SRS019127</t>
  </si>
  <si>
    <t>buccal_mucosa_SRS020336</t>
  </si>
  <si>
    <t>tongue_dorsum_SRS022621</t>
  </si>
  <si>
    <t>buccal_mucosa_SRS022625</t>
  </si>
  <si>
    <t>buccal_mucosa_SRS023987</t>
  </si>
  <si>
    <t>buccal_mucosa_SRS024347</t>
  </si>
  <si>
    <t>buccal_mucosa_SRS024470</t>
  </si>
  <si>
    <t>buccal_mucosa_SRS024641</t>
  </si>
  <si>
    <t>tongue_dorsum_SRS047210</t>
  </si>
  <si>
    <t>buccal_mucosa_SRS043803</t>
  </si>
  <si>
    <t>buccal_mucosa_SRS049283</t>
  </si>
  <si>
    <t>buccal_mucosa_SRS052874</t>
  </si>
  <si>
    <t>supragingival_plaque_SRS058053</t>
  </si>
  <si>
    <t>buccal_mucosa_SRS058186</t>
  </si>
  <si>
    <t>hard_palate_SRS062878</t>
  </si>
  <si>
    <t>subgingival_plaque_SRS063215</t>
  </si>
  <si>
    <t>palatine_tonsils_SRS063351</t>
  </si>
  <si>
    <t>supragingival_plaque_SRS065310</t>
  </si>
  <si>
    <t>skin</t>
  </si>
  <si>
    <t>anterior_nares_SRS011263</t>
  </si>
  <si>
    <t>anterior_nares_SRS012663</t>
  </si>
  <si>
    <t>anterior_nares_SRS013155</t>
  </si>
  <si>
    <t>left_retroauricular_crease_SRS013258</t>
  </si>
  <si>
    <t>right_retroauricular_crease_SRS013261</t>
  </si>
  <si>
    <t>anterior_nares_SRS013269</t>
  </si>
  <si>
    <t>anterior_nares_SRS013956</t>
  </si>
  <si>
    <t>anterior_nares_SRS014464</t>
  </si>
  <si>
    <t>anterior_nares_SRS015752</t>
  </si>
  <si>
    <t>anterior_nares_SRS015937</t>
  </si>
  <si>
    <t>anterior_nares_SRS015996</t>
  </si>
  <si>
    <t>anterior_nares_SRS016033</t>
  </si>
  <si>
    <t>anterior_nares_SRS016292</t>
  </si>
  <si>
    <t>anterior_nares_SRS016434</t>
  </si>
  <si>
    <t>anterior_nares_SRS016513</t>
  </si>
  <si>
    <t>anterior_nares_SRS016581</t>
  </si>
  <si>
    <t>anterior_nares_SRS017044</t>
  </si>
  <si>
    <t>anterior_nares_SRS017244</t>
  </si>
  <si>
    <t>anterior_nares_SRS017451</t>
  </si>
  <si>
    <t>anterior_nares_SRS017697</t>
  </si>
  <si>
    <t>anterior_nares_SRS018312</t>
  </si>
  <si>
    <t>anterior_nares_SRS018463</t>
  </si>
  <si>
    <t>anterior_nares_SRS018585</t>
  </si>
  <si>
    <t>anterior_nares_SRS018671</t>
  </si>
  <si>
    <t>anterior_nares_SRS018784</t>
  </si>
  <si>
    <t>anterior_nares_SRS018981</t>
  </si>
  <si>
    <t>anterior_nares_SRS019067</t>
  </si>
  <si>
    <t>anterior_nares_SRS019215</t>
  </si>
  <si>
    <t>anterior_nares_SRS019386</t>
  </si>
  <si>
    <t>anterior_nares_SRS019986</t>
  </si>
  <si>
    <t>anterior_nares_SRS022645</t>
  </si>
  <si>
    <t>anterior_nares_SRS023970</t>
  </si>
  <si>
    <t>left_retroauricular_crease_SRS024482</t>
  </si>
  <si>
    <t>anterior_nares_SRS024567</t>
  </si>
  <si>
    <t>left_retroauricular_crease_SRS024596</t>
  </si>
  <si>
    <t>right_retroauricular_crease_SRS024598</t>
  </si>
  <si>
    <t>right_retroauricular_crease_SRS024655</t>
  </si>
  <si>
    <t>anterior_nares_SRS044474</t>
  </si>
  <si>
    <t>anterior_nares_SRS044626</t>
  </si>
  <si>
    <t>anterior_nares_SRS046344</t>
  </si>
  <si>
    <t>anterior_nares_SRS046973</t>
  </si>
  <si>
    <t>anterior_nares_SRS047225</t>
  </si>
  <si>
    <t>anterior_nares_SRS047254</t>
  </si>
  <si>
    <t>anterior_nares_SRS047844</t>
  </si>
  <si>
    <t>anterior_nares_SRS050025</t>
  </si>
  <si>
    <t>anterior_nares_SRS051600</t>
  </si>
  <si>
    <t>anterior_nares_SRS054061</t>
  </si>
  <si>
    <t>anterior_nares_SRS058213</t>
  </si>
  <si>
    <t>anterior_nares_SRS063178</t>
  </si>
  <si>
    <t>anterior_nares_SRS065142</t>
  </si>
  <si>
    <t>stool</t>
  </si>
  <si>
    <t>stool_SRS013521</t>
  </si>
  <si>
    <t>stool_SRS015190</t>
  </si>
  <si>
    <t>stool_SRS015369</t>
  </si>
  <si>
    <t>stool_SRS015794</t>
  </si>
  <si>
    <t>stool_SRS015854</t>
  </si>
  <si>
    <t>stool_SRS016203</t>
  </si>
  <si>
    <t>stool_SRS016267</t>
  </si>
  <si>
    <t>stool_SRS016585</t>
  </si>
  <si>
    <t>stool_SRS016753</t>
  </si>
  <si>
    <t>stool_SRS016989</t>
  </si>
  <si>
    <t>stool_SRS017103</t>
  </si>
  <si>
    <t>stool_SRS017821</t>
  </si>
  <si>
    <t>stool_SRS018817</t>
  </si>
  <si>
    <t>stool_SRS019161</t>
  </si>
  <si>
    <t>stool_SRS019267</t>
  </si>
  <si>
    <t>stool_SRS019910</t>
  </si>
  <si>
    <t>stool_SRS020233</t>
  </si>
  <si>
    <t>stool_SRS021484</t>
  </si>
  <si>
    <t>stool_SRS022137</t>
  </si>
  <si>
    <t>stool_SRS022609</t>
  </si>
  <si>
    <t>stool_SRS024388</t>
  </si>
  <si>
    <t>stool_SRS024435</t>
  </si>
  <si>
    <t>stool_SRS024625</t>
  </si>
  <si>
    <t>stool_SRS042628</t>
  </si>
  <si>
    <t>stool_SRS043001</t>
  </si>
  <si>
    <t>stool_SRS043701</t>
  </si>
  <si>
    <t>stool_SRS045004</t>
  </si>
  <si>
    <t>stool_SRS045645</t>
  </si>
  <si>
    <t>stool_SRS047014</t>
  </si>
  <si>
    <t>stool_SRS048164</t>
  </si>
  <si>
    <t>stool_SRS049712</t>
  </si>
  <si>
    <t>stool_SRS049995</t>
  </si>
  <si>
    <t>stool_SRS050925</t>
  </si>
  <si>
    <t>stool_SRS051882</t>
  </si>
  <si>
    <t>stool_SRS058770</t>
  </si>
  <si>
    <t>stool_SRS062427</t>
  </si>
  <si>
    <t>stool_SRS063040</t>
  </si>
  <si>
    <t>stool_SRS065504</t>
  </si>
  <si>
    <t>stool_SRS075398</t>
  </si>
  <si>
    <t>vagina</t>
  </si>
  <si>
    <t>posterior_fornix_SRS011111</t>
  </si>
  <si>
    <t>posterior_fornix_SRS011269</t>
  </si>
  <si>
    <t>posterior_fornix_SRS011355</t>
  </si>
  <si>
    <t>posterior_fornix_SRS011584</t>
  </si>
  <si>
    <t>posterior_fornix_SRS012294</t>
  </si>
  <si>
    <t>posterior_fornix_SRS013542</t>
  </si>
  <si>
    <t>vaginal_introitus_SRS014465</t>
  </si>
  <si>
    <t>mid_vagina_SRS014466</t>
  </si>
  <si>
    <t>posterior_fornix_SRS014494</t>
  </si>
  <si>
    <t>posterior_fornix_SRS015054</t>
  </si>
  <si>
    <t>vaginal_introitus_SRS015071</t>
  </si>
  <si>
    <t>mid_vagina_SRS015072</t>
  </si>
  <si>
    <t>posterior_fornix_SRS015073</t>
  </si>
  <si>
    <t>posterior_fornix_SRS015168</t>
  </si>
  <si>
    <t>posterior_fornix_SRS015425</t>
  </si>
  <si>
    <t>posterior_fornix_SRS016516</t>
  </si>
  <si>
    <t>posterior_fornix_SRS016584</t>
  </si>
  <si>
    <t>posterior_fornix_SRS017497</t>
  </si>
  <si>
    <t>posterior_fornix_SRS017520</t>
  </si>
  <si>
    <t>posterior_fornix_SRS017700</t>
  </si>
  <si>
    <t>posterior_fornix_SRS018769</t>
  </si>
  <si>
    <t>posterior_fornix_SRS019379</t>
  </si>
  <si>
    <t>posterior_fornix_SRS019600</t>
  </si>
  <si>
    <t>posterior_fornix_SRS019989</t>
  </si>
  <si>
    <t>posterior_fornix_SRS020349</t>
  </si>
  <si>
    <t>posterior_fornix_SRS021969</t>
  </si>
  <si>
    <t>posterior_fornix_SRS022092</t>
  </si>
  <si>
    <t>posterior_fornix_SRS022158</t>
  </si>
  <si>
    <t>posterior_fornix_SRS022545</t>
  </si>
  <si>
    <t>posterior_fornix_SRS023468</t>
  </si>
  <si>
    <t>posterior_fornix_SRS023850</t>
  </si>
  <si>
    <t>posterior_fornix_SRS024068</t>
  </si>
  <si>
    <t>posterior_fornix_SRS024310</t>
  </si>
  <si>
    <t>posterior_fornix_SRS024428</t>
  </si>
  <si>
    <t>posterior_fornix_SRS042858</t>
  </si>
  <si>
    <t>posterior_fornix_SRS044742</t>
  </si>
  <si>
    <t>posterior_fornix_SRS049237</t>
  </si>
  <si>
    <t>posterior_fornix_SRS051505</t>
  </si>
  <si>
    <t>posterior_fornix_SRS052330</t>
  </si>
  <si>
    <t>posterior_fornix_SRS052756</t>
  </si>
  <si>
    <t>posterior_fornix_SRS054962</t>
  </si>
  <si>
    <t>posterior_fornix_SRS056695</t>
  </si>
  <si>
    <t>posterior_fornix_SRS062520</t>
  </si>
  <si>
    <t>vaginal_introitus_SRS062752</t>
  </si>
  <si>
    <t>posterior_fornix_SRS063417</t>
  </si>
  <si>
    <t>posterior_fornix_SRS064376</t>
  </si>
  <si>
    <t>posterior_fornix_SRS064704</t>
  </si>
  <si>
    <t>posterior_fornix_SRS065347</t>
  </si>
  <si>
    <t>posterior_fornix_SRS077751</t>
  </si>
  <si>
    <t xml:space="preserve"> </t>
  </si>
  <si>
    <t>body site</t>
  </si>
  <si>
    <t>sample ID</t>
  </si>
  <si>
    <t>genes_only</t>
  </si>
  <si>
    <t>description</t>
  </si>
  <si>
    <t>MAMBO</t>
  </si>
  <si>
    <t>Supplementary File 2. Pearson correlations between six measured metabolomic profiles and 175 predicted metabolomic profiles by MAMBO and genes-only approach Correlations are only shown if &gt;5 metabolites of the predicted metabolites were measured and vice versa.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</si>
</sst>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7E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Fill="1"/>
    <xf numFmtId="0" fontId="1" fillId="0" borderId="0" xfId="0" applyFont="1"/>
    <xf numFmtId="0" fontId="2" fillId="6" borderId="0" xfId="0" applyFont="1" applyFill="1"/>
    <xf numFmtId="0" fontId="3" fillId="6" borderId="0" xfId="0" applyFont="1" applyFill="1"/>
    <xf numFmtId="0" fontId="2" fillId="7" borderId="0" xfId="0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7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baseColWidth="10" defaultRowHeight="14" x14ac:dyDescent="0.2"/>
  <cols>
    <col min="1" max="1" width="8.5" style="5" customWidth="1"/>
    <col min="2" max="2" width="9.83203125" style="5" bestFit="1" customWidth="1"/>
    <col min="3" max="3" width="35" style="5" bestFit="1" customWidth="1"/>
    <col min="4" max="9" width="10.6640625" style="8" customWidth="1"/>
    <col min="10" max="15" width="10.6640625" style="5" customWidth="1"/>
    <col min="16" max="16384" width="10.83203125" style="5"/>
  </cols>
  <sheetData>
    <row r="1" spans="1:15" x14ac:dyDescent="0.2">
      <c r="A1" s="5" t="s">
        <v>191</v>
      </c>
      <c r="D1" s="9" t="s">
        <v>190</v>
      </c>
      <c r="E1" s="9"/>
      <c r="F1" s="9"/>
      <c r="G1" s="9"/>
      <c r="H1" s="9"/>
      <c r="I1" s="9"/>
      <c r="J1" s="11" t="s">
        <v>188</v>
      </c>
      <c r="K1" s="11"/>
      <c r="L1" s="11"/>
      <c r="M1" s="11"/>
      <c r="N1" s="11"/>
      <c r="O1" s="11"/>
    </row>
    <row r="2" spans="1:15" s="6" customFormat="1" x14ac:dyDescent="0.2">
      <c r="A2" s="6" t="s">
        <v>186</v>
      </c>
      <c r="B2" s="6" t="s">
        <v>187</v>
      </c>
      <c r="C2" s="6" t="s">
        <v>189</v>
      </c>
      <c r="D2" s="10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0" t="s">
        <v>5</v>
      </c>
      <c r="J2" s="12" t="s">
        <v>0</v>
      </c>
      <c r="K2" s="12" t="s">
        <v>1</v>
      </c>
      <c r="L2" s="12" t="s">
        <v>2</v>
      </c>
      <c r="M2" s="12" t="s">
        <v>3</v>
      </c>
      <c r="N2" s="12" t="s">
        <v>4</v>
      </c>
      <c r="O2" s="12" t="s">
        <v>5</v>
      </c>
    </row>
    <row r="3" spans="1:15" x14ac:dyDescent="0.2">
      <c r="A3" s="1" t="s">
        <v>6</v>
      </c>
      <c r="B3" s="5" t="str">
        <f t="shared" ref="B3:B39" si="0">RIGHT(C3,9)</f>
        <v>SRS014107</v>
      </c>
      <c r="C3" s="5" t="s">
        <v>7</v>
      </c>
      <c r="D3" s="5">
        <v>0.47117071699708302</v>
      </c>
      <c r="E3" s="5">
        <v>0.54948601189639701</v>
      </c>
      <c r="F3" s="5">
        <v>0.27758677511726199</v>
      </c>
      <c r="G3" s="5">
        <v>-3.9203455585733304E-3</v>
      </c>
      <c r="H3" s="5">
        <v>-0.20566753780494099</v>
      </c>
      <c r="I3" s="5">
        <v>-7.7999980358266899E-2</v>
      </c>
      <c r="J3" s="5">
        <v>-1.44262232440451E-2</v>
      </c>
      <c r="K3" s="5">
        <v>0.120845545947486</v>
      </c>
      <c r="L3" s="5">
        <v>3.1383828505026697E-2</v>
      </c>
      <c r="M3" s="5">
        <v>-6.6680033572321107E-2</v>
      </c>
      <c r="N3" s="5">
        <v>0.55539166899125603</v>
      </c>
      <c r="O3" s="5">
        <v>0.37864360398132102</v>
      </c>
    </row>
    <row r="4" spans="1:15" x14ac:dyDescent="0.2">
      <c r="A4" s="1" t="s">
        <v>6</v>
      </c>
      <c r="B4" s="5" t="str">
        <f t="shared" si="0"/>
        <v>SRS014468</v>
      </c>
      <c r="C4" s="5" t="s">
        <v>8</v>
      </c>
      <c r="D4" s="5">
        <v>0.508723996532087</v>
      </c>
      <c r="E4" s="5">
        <v>0.46069688014194599</v>
      </c>
      <c r="F4" s="5">
        <v>0.36170926529646202</v>
      </c>
      <c r="G4" s="5">
        <v>2.6847594773385899E-2</v>
      </c>
      <c r="H4" s="5">
        <v>1.9829933717974899E-2</v>
      </c>
      <c r="I4" s="5">
        <v>-8.3490961391133905E-2</v>
      </c>
      <c r="J4" s="5">
        <v>0.16239463677076599</v>
      </c>
      <c r="K4" s="5">
        <v>0.20501200473415099</v>
      </c>
      <c r="L4" s="5">
        <v>0.20739832799036001</v>
      </c>
      <c r="M4" s="5">
        <v>-0.381873047133165</v>
      </c>
      <c r="N4" s="5">
        <v>0.55329649637212197</v>
      </c>
      <c r="O4" s="5">
        <v>-0.42617387413267099</v>
      </c>
    </row>
    <row r="5" spans="1:15" x14ac:dyDescent="0.2">
      <c r="A5" s="1" t="s">
        <v>6</v>
      </c>
      <c r="B5" s="5" t="str">
        <f t="shared" si="0"/>
        <v>SRS014473</v>
      </c>
      <c r="C5" s="5" t="s">
        <v>9</v>
      </c>
      <c r="D5" s="5">
        <v>0.64426610696728603</v>
      </c>
      <c r="E5" s="5">
        <v>0.74993156325344801</v>
      </c>
      <c r="F5" s="5">
        <v>0.66341170798595905</v>
      </c>
      <c r="G5" s="5">
        <v>0.28359379398989798</v>
      </c>
      <c r="H5" s="5">
        <v>0.52224535638527103</v>
      </c>
      <c r="I5" s="5">
        <v>-0.25059652961830697</v>
      </c>
      <c r="J5" s="5">
        <v>0.44747190371268603</v>
      </c>
      <c r="K5" s="5">
        <v>0.19041166527863301</v>
      </c>
      <c r="L5" s="5">
        <v>0.25684701729978399</v>
      </c>
      <c r="M5" s="5">
        <v>-0.121188024824731</v>
      </c>
      <c r="N5" s="5">
        <v>0.16796534561467399</v>
      </c>
      <c r="O5" s="5">
        <v>-0.78213340496014305</v>
      </c>
    </row>
    <row r="6" spans="1:15" x14ac:dyDescent="0.2">
      <c r="A6" s="1" t="s">
        <v>6</v>
      </c>
      <c r="B6" s="5" t="str">
        <f t="shared" si="0"/>
        <v>SRS014474</v>
      </c>
      <c r="C6" s="5" t="s">
        <v>10</v>
      </c>
      <c r="D6" s="5">
        <v>0.59307828372121096</v>
      </c>
      <c r="E6" s="5">
        <v>0.54953353461500998</v>
      </c>
      <c r="F6" s="5">
        <v>0.65717508036535799</v>
      </c>
      <c r="G6" s="5">
        <v>0.204748422850417</v>
      </c>
      <c r="H6" s="5">
        <v>-0.81704500582536799</v>
      </c>
      <c r="I6" s="5">
        <v>-9.8227424533660998E-2</v>
      </c>
      <c r="J6" s="5">
        <v>-2.8157722644172399E-2</v>
      </c>
      <c r="K6" s="5">
        <v>0.17978718280731701</v>
      </c>
      <c r="L6" s="5">
        <v>0.19867975943175201</v>
      </c>
      <c r="M6" s="5">
        <v>-0.32967674075876502</v>
      </c>
      <c r="N6" s="5">
        <v>0.64242583364332795</v>
      </c>
      <c r="O6" s="5">
        <v>-4.9622722933874E-2</v>
      </c>
    </row>
    <row r="7" spans="1:15" x14ac:dyDescent="0.2">
      <c r="A7" s="1" t="s">
        <v>6</v>
      </c>
      <c r="B7" s="5" t="str">
        <f t="shared" si="0"/>
        <v>SRS014687</v>
      </c>
      <c r="C7" s="5" t="s">
        <v>11</v>
      </c>
      <c r="D7" s="5">
        <v>0.65187877779126902</v>
      </c>
      <c r="E7" s="5">
        <v>0.699968137813062</v>
      </c>
      <c r="F7" s="5">
        <v>0.450800406055195</v>
      </c>
      <c r="G7" s="5">
        <v>0.234374702907345</v>
      </c>
      <c r="H7" s="5">
        <v>0.28130430209715501</v>
      </c>
      <c r="I7" s="5">
        <v>-3.2629053642561599E-2</v>
      </c>
      <c r="J7" s="5">
        <v>0.466902793411199</v>
      </c>
      <c r="K7" s="5">
        <v>0.22909642988592199</v>
      </c>
      <c r="L7" s="5">
        <v>0.27473139429070198</v>
      </c>
      <c r="M7" s="5">
        <v>-7.7919161390413799E-2</v>
      </c>
      <c r="N7" s="5">
        <v>0.48100336267800298</v>
      </c>
      <c r="O7" s="5">
        <v>-0.77754603044414405</v>
      </c>
    </row>
    <row r="8" spans="1:15" x14ac:dyDescent="0.2">
      <c r="A8" s="1" t="s">
        <v>6</v>
      </c>
      <c r="B8" s="5" t="str">
        <f t="shared" si="0"/>
        <v>SRS014689</v>
      </c>
      <c r="C8" s="5" t="s">
        <v>12</v>
      </c>
      <c r="D8" s="5">
        <v>-1.00908573224717E-2</v>
      </c>
      <c r="E8" s="5">
        <v>-7.8501632677880503E-2</v>
      </c>
      <c r="F8" s="5">
        <v>0.22995627054289799</v>
      </c>
      <c r="G8" s="5">
        <v>-2.6266068379587502E-3</v>
      </c>
      <c r="H8" s="5">
        <v>-5.7046279275479402E-2</v>
      </c>
      <c r="I8" s="5">
        <v>-0.17809273500285699</v>
      </c>
      <c r="J8" s="5">
        <v>-6.9819363271870799E-2</v>
      </c>
      <c r="K8" s="5">
        <v>0.18548817301787399</v>
      </c>
      <c r="L8" s="5">
        <v>0.222709140460706</v>
      </c>
      <c r="M8" s="5">
        <v>-0.33580388911078402</v>
      </c>
      <c r="N8" s="5">
        <v>0.54094702617538504</v>
      </c>
      <c r="O8" s="5">
        <v>-1.21701700903735E-2</v>
      </c>
    </row>
    <row r="9" spans="1:15" x14ac:dyDescent="0.2">
      <c r="A9" s="1" t="s">
        <v>6</v>
      </c>
      <c r="B9" s="5" t="str">
        <f t="shared" si="0"/>
        <v>SRS014890</v>
      </c>
      <c r="C9" s="5" t="s">
        <v>13</v>
      </c>
      <c r="D9" s="5">
        <v>0.71550678220124098</v>
      </c>
      <c r="E9" s="5">
        <v>4.1767995579175501E-2</v>
      </c>
      <c r="F9" s="5">
        <v>0.125908663132028</v>
      </c>
      <c r="G9" s="5">
        <v>1.9155710842204202E-2</v>
      </c>
      <c r="H9" s="5">
        <v>0.25093083185357501</v>
      </c>
      <c r="I9" s="5">
        <v>-5.4050326823563997E-2</v>
      </c>
      <c r="J9" s="5">
        <v>0.41910244378948702</v>
      </c>
      <c r="K9" s="5">
        <v>0.16360611274196099</v>
      </c>
      <c r="L9" s="5">
        <v>0.19131741796177801</v>
      </c>
      <c r="M9" s="5">
        <v>-4.5982764338549399E-2</v>
      </c>
      <c r="N9" s="5">
        <v>0.47845844718177499</v>
      </c>
      <c r="O9" s="5">
        <v>-0.78235073621293605</v>
      </c>
    </row>
    <row r="10" spans="1:15" x14ac:dyDescent="0.2">
      <c r="A10" s="1" t="s">
        <v>6</v>
      </c>
      <c r="B10" s="5" t="str">
        <f t="shared" si="0"/>
        <v>SRS015055</v>
      </c>
      <c r="C10" s="5" t="s">
        <v>14</v>
      </c>
      <c r="D10" s="5">
        <v>0.57185554539170103</v>
      </c>
      <c r="E10" s="5">
        <v>0.22160303061772199</v>
      </c>
      <c r="F10" s="5">
        <v>0.43765102916917298</v>
      </c>
      <c r="G10" s="5">
        <v>-0.21623325153958201</v>
      </c>
      <c r="H10" s="5">
        <v>-0.18379976735370401</v>
      </c>
      <c r="I10" s="5">
        <v>0.10583581477003901</v>
      </c>
      <c r="J10" s="5">
        <v>0.104849245747531</v>
      </c>
      <c r="K10" s="5">
        <v>0.18756838753451399</v>
      </c>
      <c r="L10" s="5">
        <v>0.207250078428281</v>
      </c>
      <c r="M10" s="5">
        <v>-0.36617159056842402</v>
      </c>
      <c r="N10" s="5">
        <v>0.56357255641597703</v>
      </c>
      <c r="O10" s="5">
        <v>-0.20974709848779299</v>
      </c>
    </row>
    <row r="11" spans="1:15" x14ac:dyDescent="0.2">
      <c r="A11" s="1" t="s">
        <v>6</v>
      </c>
      <c r="B11" s="5" t="str">
        <f t="shared" si="0"/>
        <v>SRS015059</v>
      </c>
      <c r="C11" s="5" t="s">
        <v>15</v>
      </c>
      <c r="D11" s="5">
        <v>0.79318542628939703</v>
      </c>
      <c r="E11" s="5">
        <v>0.86324780811124702</v>
      </c>
      <c r="F11" s="5">
        <v>0.16473238921591199</v>
      </c>
      <c r="G11" s="5">
        <v>-1.6284531439434501E-2</v>
      </c>
      <c r="H11" s="5">
        <v>-7.6379297431582296E-2</v>
      </c>
      <c r="I11" s="5">
        <v>-9.6451487554605198E-2</v>
      </c>
      <c r="J11" s="5">
        <v>0.396976844107092</v>
      </c>
      <c r="K11" s="5">
        <v>0.105176891675718</v>
      </c>
      <c r="L11" s="5">
        <v>-7.3158736502855603E-3</v>
      </c>
      <c r="M11" s="5">
        <v>-0.58055500225680501</v>
      </c>
      <c r="N11" s="5">
        <v>0.398656553096147</v>
      </c>
      <c r="O11" s="5">
        <v>-0.78236094708915804</v>
      </c>
    </row>
    <row r="12" spans="1:15" x14ac:dyDescent="0.2">
      <c r="A12" s="1" t="s">
        <v>6</v>
      </c>
      <c r="B12" s="5" t="str">
        <f t="shared" si="0"/>
        <v>SRS015060</v>
      </c>
      <c r="C12" s="5" t="s">
        <v>16</v>
      </c>
      <c r="D12" s="5">
        <v>0.63558759008728904</v>
      </c>
      <c r="E12" s="5">
        <v>0.71266528768849602</v>
      </c>
      <c r="F12" s="5">
        <v>0.45739288990607702</v>
      </c>
      <c r="G12" s="5">
        <v>0.15434732402451901</v>
      </c>
      <c r="H12" s="5">
        <v>-0.59950156895635798</v>
      </c>
      <c r="I12" s="5">
        <v>-0.101590660778897</v>
      </c>
      <c r="J12" s="5">
        <v>0.41935447726541503</v>
      </c>
      <c r="K12" s="5">
        <v>0.162153310422777</v>
      </c>
      <c r="L12" s="5">
        <v>0.18306456455312001</v>
      </c>
      <c r="M12" s="5">
        <v>-2.79243660359066E-2</v>
      </c>
      <c r="N12" s="5">
        <v>0.48260127803467801</v>
      </c>
      <c r="O12" s="5">
        <v>-0.772355958117942</v>
      </c>
    </row>
    <row r="13" spans="1:15" x14ac:dyDescent="0.2">
      <c r="A13" s="1" t="s">
        <v>6</v>
      </c>
      <c r="B13" s="5" t="str">
        <f t="shared" si="0"/>
        <v>SRS015799</v>
      </c>
      <c r="C13" s="5" t="s">
        <v>17</v>
      </c>
      <c r="D13" s="5">
        <v>0.73479999490651804</v>
      </c>
      <c r="E13" s="5">
        <v>5.8143584214095503E-2</v>
      </c>
      <c r="F13" s="5">
        <v>0.32363768512194502</v>
      </c>
      <c r="G13" s="5">
        <v>0.38764727084584699</v>
      </c>
      <c r="H13" s="5">
        <v>-0.15132148309361301</v>
      </c>
      <c r="I13" s="5">
        <v>0.20247583193500901</v>
      </c>
      <c r="J13" s="5">
        <v>0.43575516394039898</v>
      </c>
      <c r="K13" s="5">
        <v>0.13911388078067599</v>
      </c>
      <c r="L13" s="5">
        <v>0.161089418933404</v>
      </c>
      <c r="M13" s="5">
        <v>-0.16743108016022101</v>
      </c>
      <c r="N13" s="5">
        <v>8.6777044258622801E-2</v>
      </c>
      <c r="O13" s="5">
        <v>-0.80185202429996305</v>
      </c>
    </row>
    <row r="14" spans="1:15" x14ac:dyDescent="0.2">
      <c r="A14" s="1" t="s">
        <v>6</v>
      </c>
      <c r="B14" s="5" t="str">
        <f t="shared" si="0"/>
        <v>SRS015895</v>
      </c>
      <c r="C14" s="5" t="s">
        <v>18</v>
      </c>
      <c r="D14" s="5">
        <v>0.550396791827787</v>
      </c>
      <c r="E14" s="5">
        <v>0.54015447998451704</v>
      </c>
      <c r="F14" s="5">
        <v>0.65258981286853102</v>
      </c>
      <c r="G14" s="5">
        <v>0.16096879054163199</v>
      </c>
      <c r="H14" s="5">
        <v>0.37513833828487603</v>
      </c>
      <c r="I14" s="5">
        <v>-0.10668818114114501</v>
      </c>
      <c r="J14" s="5">
        <v>0.44256189735450102</v>
      </c>
      <c r="K14" s="5">
        <v>0.13726348195228699</v>
      </c>
      <c r="L14" s="5">
        <v>0.116984955373822</v>
      </c>
      <c r="M14" s="5">
        <v>-0.11679825414334701</v>
      </c>
      <c r="N14" s="5">
        <v>0.54749869874703205</v>
      </c>
      <c r="O14" s="5">
        <v>-0.76777040522283702</v>
      </c>
    </row>
    <row r="15" spans="1:15" x14ac:dyDescent="0.2">
      <c r="A15" s="1" t="s">
        <v>6</v>
      </c>
      <c r="B15" s="5" t="str">
        <f t="shared" si="0"/>
        <v>SRS015921</v>
      </c>
      <c r="C15" s="5" t="s">
        <v>19</v>
      </c>
      <c r="D15" s="5">
        <v>0.72346607311959399</v>
      </c>
      <c r="E15" s="5">
        <v>7.0442295252743994E-2</v>
      </c>
      <c r="F15" s="5">
        <v>0.32573422869763602</v>
      </c>
      <c r="G15" s="5">
        <v>0.118641373750858</v>
      </c>
      <c r="H15" s="5">
        <v>-0.27503803478457201</v>
      </c>
      <c r="I15" s="5">
        <v>0.52712483278061495</v>
      </c>
      <c r="J15" s="5">
        <v>0.40950433489722798</v>
      </c>
      <c r="K15" s="5">
        <v>0.111641820758549</v>
      </c>
      <c r="L15" s="5">
        <v>1.8115933288952502E-2</v>
      </c>
      <c r="M15" s="5">
        <v>-0.39358840945017498</v>
      </c>
      <c r="N15" s="5">
        <v>0.43285726772182198</v>
      </c>
      <c r="O15" s="5">
        <v>-0.77804807260686204</v>
      </c>
    </row>
    <row r="16" spans="1:15" x14ac:dyDescent="0.2">
      <c r="A16" s="1" t="s">
        <v>6</v>
      </c>
      <c r="B16" s="5" t="str">
        <f t="shared" si="0"/>
        <v>SRS017511</v>
      </c>
      <c r="C16" s="5" t="s">
        <v>20</v>
      </c>
      <c r="D16" s="5">
        <v>0.63092598665368704</v>
      </c>
      <c r="E16" s="5">
        <v>0.23170641454431701</v>
      </c>
      <c r="F16" s="5">
        <v>0.245256247909175</v>
      </c>
      <c r="G16" s="5">
        <v>0.36420694202392401</v>
      </c>
      <c r="H16" s="5">
        <v>-0.319002587111964</v>
      </c>
      <c r="I16" s="5">
        <v>-0.15148288578432501</v>
      </c>
      <c r="J16" s="5">
        <v>0.167984716815997</v>
      </c>
      <c r="K16" s="5">
        <v>0.168479756737865</v>
      </c>
      <c r="L16" s="5">
        <v>5.6585411796053503E-2</v>
      </c>
      <c r="M16" s="5">
        <v>-0.16585045268307499</v>
      </c>
      <c r="N16" s="5">
        <v>0.44440364328830101</v>
      </c>
      <c r="O16" s="5">
        <v>-0.66692615674543998</v>
      </c>
    </row>
    <row r="17" spans="1:15" x14ac:dyDescent="0.2">
      <c r="A17" s="1" t="s">
        <v>6</v>
      </c>
      <c r="B17" s="5" t="str">
        <f t="shared" si="0"/>
        <v>SRS017687</v>
      </c>
      <c r="C17" s="5" t="s">
        <v>21</v>
      </c>
      <c r="D17" s="5">
        <v>0.60824236847499102</v>
      </c>
      <c r="E17" s="5">
        <v>0.61725408157005601</v>
      </c>
      <c r="F17" s="5">
        <v>0.21989963634179799</v>
      </c>
      <c r="G17" s="5">
        <v>-3.6576244448583699E-2</v>
      </c>
      <c r="H17" s="5">
        <v>-0.25774113359143402</v>
      </c>
      <c r="I17" s="5">
        <v>0.38904609688073299</v>
      </c>
      <c r="J17" s="5">
        <v>0.43158403084371999</v>
      </c>
      <c r="K17" s="5">
        <v>0.17147801126517001</v>
      </c>
      <c r="L17" s="5">
        <v>0.21623730556144699</v>
      </c>
      <c r="M17" s="5">
        <v>3.4847487572234201E-2</v>
      </c>
      <c r="N17" s="5">
        <v>0.370288916711627</v>
      </c>
      <c r="O17" s="5">
        <v>-0.78149436774618497</v>
      </c>
    </row>
    <row r="18" spans="1:15" x14ac:dyDescent="0.2">
      <c r="A18" s="1" t="s">
        <v>6</v>
      </c>
      <c r="B18" s="5" t="str">
        <f t="shared" si="0"/>
        <v>SRS018569</v>
      </c>
      <c r="C18" s="5" t="s">
        <v>22</v>
      </c>
      <c r="D18" s="5">
        <v>0.81633927534029704</v>
      </c>
      <c r="E18" s="5">
        <v>-1.6942821300375398E-2</v>
      </c>
      <c r="F18" s="5">
        <v>0.21907585280505101</v>
      </c>
      <c r="G18" s="5">
        <v>0.187929885532758</v>
      </c>
      <c r="H18" s="5">
        <v>-0.445791420978988</v>
      </c>
      <c r="I18" s="5">
        <v>0.12590382601886099</v>
      </c>
      <c r="J18" s="5">
        <v>0.19876646679919399</v>
      </c>
      <c r="K18" s="5">
        <v>6.2242565454329699E-2</v>
      </c>
      <c r="L18" s="5">
        <v>-6.8538598399501105E-2</v>
      </c>
      <c r="M18" s="5">
        <v>-0.35735157551854602</v>
      </c>
      <c r="N18" s="5">
        <v>0.36633016186086698</v>
      </c>
      <c r="O18" s="5">
        <v>-0.68882107272785997</v>
      </c>
    </row>
    <row r="19" spans="1:15" x14ac:dyDescent="0.2">
      <c r="A19" s="1" t="s">
        <v>6</v>
      </c>
      <c r="B19" s="5" t="str">
        <f t="shared" si="0"/>
        <v>SRS019029</v>
      </c>
      <c r="C19" s="5" t="s">
        <v>23</v>
      </c>
      <c r="D19" s="5">
        <v>0.536017041648987</v>
      </c>
      <c r="E19" s="5">
        <v>0.67516284313209396</v>
      </c>
      <c r="F19" s="5">
        <v>0.18069620844793299</v>
      </c>
      <c r="G19" s="5">
        <v>-6.6294878319563301E-3</v>
      </c>
      <c r="H19" s="5">
        <v>-0.44236288501843302</v>
      </c>
      <c r="I19" s="5">
        <v>0.15159223914438399</v>
      </c>
      <c r="J19" s="5">
        <v>1.2169614016063901E-2</v>
      </c>
      <c r="K19" s="5">
        <v>0.19224582103464299</v>
      </c>
      <c r="L19" s="5">
        <v>0.110865791826359</v>
      </c>
      <c r="M19" s="5">
        <v>-0.20255392103460801</v>
      </c>
      <c r="N19" s="5">
        <v>0.40185554213623198</v>
      </c>
      <c r="O19" s="5">
        <v>-0.451520305722443</v>
      </c>
    </row>
    <row r="20" spans="1:15" x14ac:dyDescent="0.2">
      <c r="A20" s="1" t="s">
        <v>6</v>
      </c>
      <c r="B20" s="5" t="str">
        <f t="shared" si="0"/>
        <v>SRS019120</v>
      </c>
      <c r="C20" s="5" t="s">
        <v>24</v>
      </c>
      <c r="D20" s="5">
        <v>0.36383006831530001</v>
      </c>
      <c r="E20" s="5">
        <v>0.36623362153783401</v>
      </c>
      <c r="F20" s="5">
        <v>0.38814841663169902</v>
      </c>
      <c r="G20" s="5">
        <v>-1.9411169410561001E-2</v>
      </c>
      <c r="H20" s="5">
        <v>-0.46152365849317001</v>
      </c>
      <c r="I20" s="5">
        <v>9.2437660609079302E-3</v>
      </c>
      <c r="J20" s="5">
        <v>9.27991731981406E-2</v>
      </c>
      <c r="K20" s="5">
        <v>0.16279939698527299</v>
      </c>
      <c r="L20" s="5">
        <v>0.204043728705601</v>
      </c>
      <c r="M20" s="5">
        <v>-0.33555981431912801</v>
      </c>
      <c r="N20" s="5">
        <v>0.60472910692980297</v>
      </c>
      <c r="O20" s="5">
        <v>-0.18605711721764101</v>
      </c>
    </row>
    <row r="21" spans="1:15" x14ac:dyDescent="0.2">
      <c r="A21" s="1" t="s">
        <v>6</v>
      </c>
      <c r="B21" s="5" t="str">
        <f t="shared" si="0"/>
        <v>SRS019126</v>
      </c>
      <c r="C21" s="5" t="s">
        <v>25</v>
      </c>
      <c r="D21" s="5">
        <v>0.61362061108146204</v>
      </c>
      <c r="E21" s="5">
        <v>0.62317107314110898</v>
      </c>
      <c r="F21" s="5">
        <v>0.53537147179492395</v>
      </c>
      <c r="G21" s="5">
        <v>-0.492237364314215</v>
      </c>
      <c r="H21" s="5">
        <v>0.46238031353126902</v>
      </c>
      <c r="I21" s="5">
        <v>-0.26708225015023801</v>
      </c>
      <c r="J21" s="5">
        <v>-0.15943340475800299</v>
      </c>
      <c r="K21" s="5">
        <v>0.17286291904568099</v>
      </c>
      <c r="L21" s="5">
        <v>0.222005579498222</v>
      </c>
      <c r="M21" s="5">
        <v>-0.25109908778464801</v>
      </c>
      <c r="N21" s="5">
        <v>0.468377632940493</v>
      </c>
      <c r="O21" s="5">
        <v>0.13272964179826699</v>
      </c>
    </row>
    <row r="22" spans="1:15" x14ac:dyDescent="0.2">
      <c r="A22" s="1" t="s">
        <v>6</v>
      </c>
      <c r="B22" s="5" t="str">
        <f t="shared" si="0"/>
        <v>SRS019127</v>
      </c>
      <c r="C22" s="5" t="s">
        <v>26</v>
      </c>
      <c r="D22" s="5">
        <v>0.49299549418959898</v>
      </c>
      <c r="E22" s="5">
        <v>0.63021571315734204</v>
      </c>
      <c r="F22" s="5">
        <v>0.22741850171375</v>
      </c>
      <c r="G22" s="5">
        <v>-0.16032680867983801</v>
      </c>
      <c r="H22" s="5">
        <v>-0.26335398474584998</v>
      </c>
      <c r="I22" s="5">
        <v>0.20508889558590801</v>
      </c>
      <c r="J22" s="5">
        <v>-0.35668666846867803</v>
      </c>
      <c r="K22" s="5">
        <v>6.3461216924638603E-2</v>
      </c>
      <c r="L22" s="5">
        <v>0.17269850103562301</v>
      </c>
      <c r="M22" s="5">
        <v>8.1863788183268699E-2</v>
      </c>
      <c r="N22" s="5">
        <v>0.53763472624092501</v>
      </c>
      <c r="O22" s="5">
        <v>0.56810874972117498</v>
      </c>
    </row>
    <row r="23" spans="1:15" x14ac:dyDescent="0.2">
      <c r="A23" s="1" t="s">
        <v>6</v>
      </c>
      <c r="B23" s="5" t="str">
        <f t="shared" si="0"/>
        <v>SRS020336</v>
      </c>
      <c r="C23" s="5" t="s">
        <v>27</v>
      </c>
      <c r="D23" s="5">
        <v>0.774800164655704</v>
      </c>
      <c r="E23" s="5">
        <v>0.35035644138696298</v>
      </c>
      <c r="F23" s="5">
        <v>0.24734773416383299</v>
      </c>
      <c r="G23" s="5">
        <v>-1.02595092467903E-2</v>
      </c>
      <c r="H23" s="5">
        <v>0.247682914891832</v>
      </c>
      <c r="I23" s="5">
        <v>-0.360736481478727</v>
      </c>
      <c r="J23" s="5">
        <v>0.43123826530239201</v>
      </c>
      <c r="K23" s="5">
        <v>0.19551890396497801</v>
      </c>
      <c r="L23" s="5">
        <v>0.25969645325444901</v>
      </c>
      <c r="M23" s="5">
        <v>-8.3652154788943396E-3</v>
      </c>
      <c r="N23" s="5">
        <v>0.43241489253468302</v>
      </c>
      <c r="O23" s="5">
        <v>-0.77155397608684895</v>
      </c>
    </row>
    <row r="24" spans="1:15" x14ac:dyDescent="0.2">
      <c r="A24" s="1" t="s">
        <v>6</v>
      </c>
      <c r="B24" s="5" t="str">
        <f t="shared" si="0"/>
        <v>SRS022621</v>
      </c>
      <c r="C24" s="5" t="s">
        <v>28</v>
      </c>
      <c r="D24" s="5">
        <v>0.619016364454404</v>
      </c>
      <c r="E24" s="5">
        <v>0.35229525245895599</v>
      </c>
      <c r="F24" s="5">
        <v>0.43787106412201898</v>
      </c>
      <c r="G24" s="5">
        <v>0.289259866810814</v>
      </c>
      <c r="H24" s="5">
        <v>-0.30230612235652099</v>
      </c>
      <c r="I24" s="5">
        <v>-0.13762291033805499</v>
      </c>
      <c r="J24" s="5">
        <v>-6.0894727126663004E-3</v>
      </c>
      <c r="K24" s="5">
        <v>0.18255444058083201</v>
      </c>
      <c r="L24" s="5">
        <v>0.20201431028171199</v>
      </c>
      <c r="M24" s="5">
        <v>-0.29209899986628801</v>
      </c>
      <c r="N24" s="5">
        <v>0.56601161038873404</v>
      </c>
      <c r="O24" s="5">
        <v>3.6260635778936401E-2</v>
      </c>
    </row>
    <row r="25" spans="1:15" x14ac:dyDescent="0.2">
      <c r="A25" s="1" t="s">
        <v>6</v>
      </c>
      <c r="B25" s="5" t="str">
        <f t="shared" si="0"/>
        <v>SRS022625</v>
      </c>
      <c r="C25" s="5" t="s">
        <v>29</v>
      </c>
      <c r="D25" s="5">
        <v>0.50018586438476598</v>
      </c>
      <c r="E25" s="5">
        <v>0.42877402690692701</v>
      </c>
      <c r="F25" s="5">
        <v>0.45504151578533297</v>
      </c>
      <c r="G25" s="5">
        <v>-0.28089747906261497</v>
      </c>
      <c r="H25" s="5">
        <v>0.37192808041161501</v>
      </c>
      <c r="I25" s="5">
        <v>-9.0631524616195697E-2</v>
      </c>
      <c r="J25" s="5">
        <v>0.43302666076997498</v>
      </c>
      <c r="K25" s="5">
        <v>0.15507805172588701</v>
      </c>
      <c r="L25" s="5">
        <v>0.230090200094627</v>
      </c>
      <c r="M25" s="5">
        <v>3.4367172857561502E-2</v>
      </c>
      <c r="N25" s="5">
        <v>0.41542883822709997</v>
      </c>
      <c r="O25" s="5">
        <v>-0.76642365009186697</v>
      </c>
    </row>
    <row r="26" spans="1:15" x14ac:dyDescent="0.2">
      <c r="A26" s="1" t="s">
        <v>6</v>
      </c>
      <c r="B26" s="5" t="str">
        <f t="shared" si="0"/>
        <v>SRS023987</v>
      </c>
      <c r="C26" s="5" t="s">
        <v>30</v>
      </c>
      <c r="D26" s="5">
        <v>0.46579113402101802</v>
      </c>
      <c r="E26" s="5">
        <v>0.48414468214947298</v>
      </c>
      <c r="F26" s="5">
        <v>0.45967855173585398</v>
      </c>
      <c r="G26" s="5">
        <v>5.1470218614671298E-2</v>
      </c>
      <c r="H26" s="5">
        <v>-0.26823713374025998</v>
      </c>
      <c r="I26" s="5">
        <v>-3.7665867298260103E-2</v>
      </c>
      <c r="J26" s="5">
        <v>0.46898302598174302</v>
      </c>
      <c r="K26" s="5">
        <v>0.17003617239865601</v>
      </c>
      <c r="L26" s="5">
        <v>0.214867055632701</v>
      </c>
      <c r="M26" s="5">
        <v>-9.7826402080689698E-2</v>
      </c>
      <c r="N26" s="5">
        <v>0.37675707958216498</v>
      </c>
      <c r="O26" s="5">
        <v>-0.78345022766932104</v>
      </c>
    </row>
    <row r="27" spans="1:15" x14ac:dyDescent="0.2">
      <c r="A27" s="1" t="s">
        <v>6</v>
      </c>
      <c r="B27" s="5" t="str">
        <f t="shared" si="0"/>
        <v>SRS024347</v>
      </c>
      <c r="C27" s="5" t="s">
        <v>31</v>
      </c>
      <c r="D27" s="5">
        <v>0.43992457493489501</v>
      </c>
      <c r="E27" s="5">
        <v>0.37779704197998798</v>
      </c>
      <c r="F27" s="5">
        <v>0.62462090231588796</v>
      </c>
      <c r="G27" s="5">
        <v>0.119071237590834</v>
      </c>
      <c r="H27" s="5">
        <v>-0.44516414011091499</v>
      </c>
      <c r="I27" s="5">
        <v>-0.122058478825046</v>
      </c>
      <c r="J27" s="5">
        <v>0.38474271877161997</v>
      </c>
      <c r="K27" s="5">
        <v>0.18694392307149299</v>
      </c>
      <c r="L27" s="5">
        <v>0.23966956502551501</v>
      </c>
      <c r="M27" s="5">
        <v>-4.5490463927046497E-2</v>
      </c>
      <c r="N27" s="5">
        <v>0.45280138224774302</v>
      </c>
      <c r="O27" s="5">
        <v>-0.78418126136269595</v>
      </c>
    </row>
    <row r="28" spans="1:15" x14ac:dyDescent="0.2">
      <c r="A28" s="1" t="s">
        <v>6</v>
      </c>
      <c r="B28" s="5" t="str">
        <f t="shared" si="0"/>
        <v>SRS024470</v>
      </c>
      <c r="C28" s="5" t="s">
        <v>32</v>
      </c>
      <c r="D28" s="5">
        <v>0.79900135922550797</v>
      </c>
      <c r="E28" s="5">
        <v>0.877319679290678</v>
      </c>
      <c r="F28" s="5">
        <v>0.378941117742776</v>
      </c>
      <c r="G28" s="5">
        <v>0.229463736074835</v>
      </c>
      <c r="H28" s="5">
        <v>0.60333167709850499</v>
      </c>
      <c r="I28" s="5">
        <v>-0.117150499787825</v>
      </c>
      <c r="J28" s="5">
        <v>0.392629691484492</v>
      </c>
      <c r="K28" s="5">
        <v>0.18835656969408501</v>
      </c>
      <c r="L28" s="5">
        <v>0.16813371530999299</v>
      </c>
      <c r="M28" s="5">
        <v>-0.29698322919362202</v>
      </c>
      <c r="N28" s="5">
        <v>0.51760113651784101</v>
      </c>
      <c r="O28" s="5">
        <v>-0.79126649197361199</v>
      </c>
    </row>
    <row r="29" spans="1:15" x14ac:dyDescent="0.2">
      <c r="A29" s="1" t="s">
        <v>6</v>
      </c>
      <c r="B29" s="5" t="str">
        <f t="shared" si="0"/>
        <v>SRS024641</v>
      </c>
      <c r="C29" s="5" t="s">
        <v>33</v>
      </c>
      <c r="D29" s="5">
        <v>0.337570165477246</v>
      </c>
      <c r="E29" s="5">
        <v>0.125297023747622</v>
      </c>
      <c r="F29" s="5">
        <v>0.33134343832217</v>
      </c>
      <c r="G29" s="5">
        <v>-0.34975857401132399</v>
      </c>
      <c r="H29" s="5"/>
      <c r="I29" s="5">
        <v>0.19962194168024799</v>
      </c>
      <c r="J29" s="5">
        <v>4.69904292113087E-2</v>
      </c>
      <c r="K29" s="5">
        <v>-7.8276215393861398E-2</v>
      </c>
      <c r="L29" s="5">
        <v>-0.265371057018084</v>
      </c>
      <c r="M29" s="5">
        <v>6.4521904752787601E-2</v>
      </c>
      <c r="N29" s="5">
        <v>0.25958539196999098</v>
      </c>
      <c r="O29" s="5">
        <v>0.65879669415582298</v>
      </c>
    </row>
    <row r="30" spans="1:15" x14ac:dyDescent="0.2">
      <c r="A30" s="1" t="s">
        <v>6</v>
      </c>
      <c r="B30" s="5" t="str">
        <f t="shared" si="0"/>
        <v>SRS047210</v>
      </c>
      <c r="C30" s="7" t="s">
        <v>34</v>
      </c>
      <c r="D30" s="5">
        <v>0.492502142359939</v>
      </c>
      <c r="E30" s="5">
        <v>0.554321754403583</v>
      </c>
      <c r="F30" s="5">
        <v>0.547541771091274</v>
      </c>
      <c r="G30" s="5">
        <v>6.2003290264784801E-2</v>
      </c>
      <c r="H30" s="5">
        <v>-0.53518349166888501</v>
      </c>
      <c r="I30" s="5">
        <v>-0.21050537190618401</v>
      </c>
      <c r="J30" s="5">
        <v>-0.26308894407699701</v>
      </c>
      <c r="K30" s="5">
        <v>0.13499851144185501</v>
      </c>
      <c r="L30" s="5">
        <v>8.2801946144448399E-2</v>
      </c>
      <c r="M30" s="5">
        <v>-0.221636207653161</v>
      </c>
      <c r="N30" s="5">
        <v>0.49783089637088901</v>
      </c>
      <c r="O30" s="5">
        <v>0.114558950528954</v>
      </c>
    </row>
    <row r="31" spans="1:15" x14ac:dyDescent="0.2">
      <c r="A31" s="1" t="s">
        <v>6</v>
      </c>
      <c r="B31" s="5" t="str">
        <f t="shared" si="0"/>
        <v>SRS043803</v>
      </c>
      <c r="C31" s="5" t="s">
        <v>35</v>
      </c>
      <c r="D31" s="5">
        <v>0.79916781970422401</v>
      </c>
      <c r="E31" s="5">
        <v>6.39227336151445E-2</v>
      </c>
      <c r="F31" s="5">
        <v>0.19606258274165</v>
      </c>
      <c r="G31" s="5">
        <v>-0.28535717274194</v>
      </c>
      <c r="H31" s="5">
        <v>0.51393866763352303</v>
      </c>
      <c r="I31" s="5">
        <v>-0.198074016236679</v>
      </c>
      <c r="J31" s="5">
        <v>0.13361559156590899</v>
      </c>
      <c r="K31" s="5">
        <v>2.5511170624408101E-2</v>
      </c>
      <c r="L31" s="5">
        <v>-0.100569198183192</v>
      </c>
      <c r="M31" s="5">
        <v>-0.330262594514459</v>
      </c>
      <c r="N31" s="5">
        <v>0.35329691976421501</v>
      </c>
      <c r="O31" s="5">
        <v>-0.37479176360545302</v>
      </c>
    </row>
    <row r="32" spans="1:15" x14ac:dyDescent="0.2">
      <c r="A32" s="1" t="s">
        <v>6</v>
      </c>
      <c r="B32" s="5" t="str">
        <f t="shared" si="0"/>
        <v>SRS049283</v>
      </c>
      <c r="C32" s="5" t="s">
        <v>36</v>
      </c>
      <c r="D32" s="5">
        <v>0.79176126958336901</v>
      </c>
      <c r="E32" s="5">
        <v>0.86591480624179595</v>
      </c>
      <c r="F32" s="5">
        <v>0.30474969598625301</v>
      </c>
      <c r="G32" s="5">
        <v>-4.4142100220289797E-2</v>
      </c>
      <c r="H32" s="5">
        <v>-0.62034402910588105</v>
      </c>
      <c r="I32" s="5">
        <v>0.111110927618951</v>
      </c>
      <c r="J32" s="5">
        <v>0.227938224323189</v>
      </c>
      <c r="K32" s="5">
        <v>0.178439319606184</v>
      </c>
      <c r="L32" s="5">
        <v>0.14074253536165399</v>
      </c>
      <c r="M32" s="5">
        <v>-0.43173944442911599</v>
      </c>
      <c r="N32" s="5">
        <v>0.43653132767546299</v>
      </c>
      <c r="O32" s="5">
        <v>-0.71776077593299104</v>
      </c>
    </row>
    <row r="33" spans="1:15" x14ac:dyDescent="0.2">
      <c r="A33" s="1" t="s">
        <v>6</v>
      </c>
      <c r="B33" s="5" t="str">
        <f t="shared" si="0"/>
        <v>SRS052874</v>
      </c>
      <c r="C33" s="5" t="s">
        <v>37</v>
      </c>
      <c r="D33" s="5">
        <v>0.49227835449031299</v>
      </c>
      <c r="E33" s="5">
        <v>0.51179511890270202</v>
      </c>
      <c r="F33" s="5">
        <v>0.25108262358835298</v>
      </c>
      <c r="G33" s="5">
        <v>0.253176680545523</v>
      </c>
      <c r="H33" s="5">
        <v>0.54672865869214704</v>
      </c>
      <c r="I33" s="5">
        <v>-0.14543904379754999</v>
      </c>
      <c r="J33" s="5">
        <v>0.43706095441916898</v>
      </c>
      <c r="K33" s="5">
        <v>0.165957695339431</v>
      </c>
      <c r="L33" s="5">
        <v>0.21461232653982801</v>
      </c>
      <c r="M33" s="5">
        <v>-0.142762904811057</v>
      </c>
      <c r="N33" s="5">
        <v>0.32681864509540898</v>
      </c>
      <c r="O33" s="5">
        <v>-0.78394568504278395</v>
      </c>
    </row>
    <row r="34" spans="1:15" x14ac:dyDescent="0.2">
      <c r="A34" s="1" t="s">
        <v>6</v>
      </c>
      <c r="B34" s="5" t="str">
        <f t="shared" si="0"/>
        <v>SRS058053</v>
      </c>
      <c r="C34" s="5" t="s">
        <v>38</v>
      </c>
      <c r="D34" s="5">
        <v>0.51211576750744103</v>
      </c>
      <c r="E34" s="5">
        <v>0.62759060987529602</v>
      </c>
      <c r="F34" s="5">
        <v>0.33030583161769</v>
      </c>
      <c r="G34" s="5">
        <v>0.12922944922041699</v>
      </c>
      <c r="H34" s="5">
        <v>-0.44642446938878799</v>
      </c>
      <c r="I34" s="5">
        <v>9.3724546155888197E-2</v>
      </c>
      <c r="J34" s="5">
        <v>9.6983368810056605E-2</v>
      </c>
      <c r="K34" s="5">
        <v>0.13619974626891401</v>
      </c>
      <c r="L34" s="5">
        <v>3.0536969648710399E-2</v>
      </c>
      <c r="M34" s="5">
        <v>-0.16224358142437001</v>
      </c>
      <c r="N34" s="5">
        <v>0.44044337173289699</v>
      </c>
      <c r="O34" s="5">
        <v>-0.36740268335954002</v>
      </c>
    </row>
    <row r="35" spans="1:15" x14ac:dyDescent="0.2">
      <c r="A35" s="1" t="s">
        <v>6</v>
      </c>
      <c r="B35" s="5" t="str">
        <f t="shared" si="0"/>
        <v>SRS058186</v>
      </c>
      <c r="C35" s="5" t="s">
        <v>39</v>
      </c>
      <c r="D35" s="5">
        <v>6.2516981255863104E-3</v>
      </c>
      <c r="E35" s="5">
        <v>2.8991474262908799E-2</v>
      </c>
      <c r="F35" s="5">
        <v>0.34792773781726599</v>
      </c>
      <c r="G35" s="5">
        <v>-1.7640033986994E-2</v>
      </c>
      <c r="H35" s="5">
        <v>0.40230378257630001</v>
      </c>
      <c r="I35" s="5">
        <v>-0.32454970862879001</v>
      </c>
      <c r="J35" s="5">
        <v>0.35951976812247499</v>
      </c>
      <c r="K35" s="5">
        <v>0.14329585327586999</v>
      </c>
      <c r="L35" s="5">
        <v>9.19570752321726E-2</v>
      </c>
      <c r="M35" s="5">
        <v>-0.31397286165361399</v>
      </c>
      <c r="N35" s="5">
        <v>0.40958067248786401</v>
      </c>
      <c r="O35" s="5">
        <v>-0.76953965031396099</v>
      </c>
    </row>
    <row r="36" spans="1:15" x14ac:dyDescent="0.2">
      <c r="A36" s="1" t="s">
        <v>6</v>
      </c>
      <c r="B36" s="5" t="str">
        <f t="shared" si="0"/>
        <v>SRS062878</v>
      </c>
      <c r="C36" s="5" t="s">
        <v>40</v>
      </c>
      <c r="D36" s="5">
        <v>0.60469787480315995</v>
      </c>
      <c r="E36" s="5">
        <v>0.58324725198416105</v>
      </c>
      <c r="F36" s="5">
        <v>0.410192772281679</v>
      </c>
      <c r="G36" s="5">
        <v>0.47403454969838399</v>
      </c>
      <c r="H36" s="5">
        <v>5.4033963540262298E-2</v>
      </c>
      <c r="I36" s="5">
        <v>0.26303554391525902</v>
      </c>
      <c r="J36" s="5">
        <v>0.45287804748300903</v>
      </c>
      <c r="K36" s="5">
        <v>0.118981385252485</v>
      </c>
      <c r="L36" s="5">
        <v>5.9434956124319802E-2</v>
      </c>
      <c r="M36" s="5">
        <v>-0.18322437237151601</v>
      </c>
      <c r="N36" s="5">
        <v>0.32703592614556798</v>
      </c>
      <c r="O36" s="5">
        <v>-0.80074666614534895</v>
      </c>
    </row>
    <row r="37" spans="1:15" x14ac:dyDescent="0.2">
      <c r="A37" s="1" t="s">
        <v>6</v>
      </c>
      <c r="B37" s="5" t="str">
        <f t="shared" si="0"/>
        <v>SRS063215</v>
      </c>
      <c r="C37" s="5" t="s">
        <v>41</v>
      </c>
      <c r="D37" s="5">
        <v>0.60464039896005495</v>
      </c>
      <c r="E37" s="5">
        <v>0.72484310235946003</v>
      </c>
      <c r="F37" s="5">
        <v>0.27405309360751801</v>
      </c>
      <c r="G37" s="5">
        <v>-0.239298749438251</v>
      </c>
      <c r="H37" s="5">
        <v>-0.423008234499335</v>
      </c>
      <c r="I37" s="5">
        <v>-0.11988760409827</v>
      </c>
      <c r="J37" s="5">
        <v>-1.7412578297660401E-2</v>
      </c>
      <c r="K37" s="5">
        <v>0.18797146433985101</v>
      </c>
      <c r="L37" s="5">
        <v>0.205073320124946</v>
      </c>
      <c r="M37" s="5">
        <v>-0.15033152707532799</v>
      </c>
      <c r="N37" s="5">
        <v>0.51553260150507296</v>
      </c>
      <c r="O37" s="5">
        <v>0.14710297045715701</v>
      </c>
    </row>
    <row r="38" spans="1:15" x14ac:dyDescent="0.2">
      <c r="A38" s="1" t="s">
        <v>6</v>
      </c>
      <c r="B38" s="5" t="str">
        <f t="shared" si="0"/>
        <v>SRS063351</v>
      </c>
      <c r="C38" s="5" t="s">
        <v>42</v>
      </c>
      <c r="D38" s="5">
        <v>0.62215894799927896</v>
      </c>
      <c r="E38" s="5">
        <v>0.50792744872881002</v>
      </c>
      <c r="F38" s="5">
        <v>0.41836827950279698</v>
      </c>
      <c r="G38" s="5">
        <v>0.19457522334059699</v>
      </c>
      <c r="H38" s="5">
        <v>0.45849992804228701</v>
      </c>
      <c r="I38" s="5">
        <v>-0.16384845791800001</v>
      </c>
      <c r="J38" s="5">
        <v>-0.27328586924696302</v>
      </c>
      <c r="K38" s="5">
        <v>0.17247943878130301</v>
      </c>
      <c r="L38" s="5">
        <v>0.20699902576694201</v>
      </c>
      <c r="M38" s="5">
        <v>-0.121548632332588</v>
      </c>
      <c r="N38" s="5">
        <v>0.50237055660475005</v>
      </c>
      <c r="O38" s="5">
        <v>0.31431329154898502</v>
      </c>
    </row>
    <row r="39" spans="1:15" x14ac:dyDescent="0.2">
      <c r="A39" s="1" t="s">
        <v>6</v>
      </c>
      <c r="B39" s="5" t="str">
        <f t="shared" si="0"/>
        <v>SRS065310</v>
      </c>
      <c r="C39" s="5" t="s">
        <v>43</v>
      </c>
      <c r="D39" s="5">
        <v>0.56700562901416596</v>
      </c>
      <c r="E39" s="5">
        <v>0.61153221933324997</v>
      </c>
      <c r="F39" s="5">
        <v>0.43358347736603797</v>
      </c>
      <c r="G39" s="5">
        <v>0.27126458699057898</v>
      </c>
      <c r="H39" s="5">
        <v>-6.7914521808791303E-2</v>
      </c>
      <c r="I39" s="5">
        <v>-7.7060214974254401E-2</v>
      </c>
      <c r="J39" s="5">
        <v>0.18565051810370201</v>
      </c>
      <c r="K39" s="5">
        <v>0.16466912195050401</v>
      </c>
      <c r="L39" s="5">
        <v>4.3110683946490203E-2</v>
      </c>
      <c r="M39" s="5">
        <v>-0.12530836984843199</v>
      </c>
      <c r="N39" s="5">
        <v>0.47048938599455498</v>
      </c>
      <c r="O39" s="5">
        <v>-0.69165095289652201</v>
      </c>
    </row>
    <row r="40" spans="1:15" x14ac:dyDescent="0.2">
      <c r="A40" s="2" t="s">
        <v>44</v>
      </c>
      <c r="B40" s="5" t="str">
        <f t="shared" ref="B40:B89" si="1">RIGHT(C40,9)</f>
        <v>SRS011263</v>
      </c>
      <c r="C40" s="5" t="s">
        <v>45</v>
      </c>
      <c r="D40" s="5">
        <v>4.1223892678768402E-3</v>
      </c>
      <c r="E40" s="5">
        <v>-0.19211260920200399</v>
      </c>
      <c r="F40" s="5">
        <v>-4.2522815165799699E-2</v>
      </c>
      <c r="G40" s="5">
        <v>2.3086462695843801E-2</v>
      </c>
      <c r="H40" s="5"/>
      <c r="I40" s="5">
        <v>0.228167811412049</v>
      </c>
      <c r="J40" s="5">
        <v>0.105279595046611</v>
      </c>
      <c r="K40" s="5">
        <v>-0.21118959279192301</v>
      </c>
      <c r="L40" s="5">
        <v>-0.17090673610898999</v>
      </c>
      <c r="M40" s="5">
        <v>7.98466161139543E-2</v>
      </c>
      <c r="N40" s="5">
        <v>0.25958539196999098</v>
      </c>
      <c r="O40" s="5">
        <v>0.74686656614413904</v>
      </c>
    </row>
    <row r="41" spans="1:15" x14ac:dyDescent="0.2">
      <c r="A41" s="2" t="s">
        <v>44</v>
      </c>
      <c r="B41" s="5" t="str">
        <f t="shared" si="1"/>
        <v>SRS012663</v>
      </c>
      <c r="C41" s="5" t="s">
        <v>46</v>
      </c>
      <c r="D41" s="5">
        <v>-0.15732900589978399</v>
      </c>
      <c r="E41" s="5">
        <v>0.25950665927845001</v>
      </c>
      <c r="F41" s="5">
        <v>-0.102154785430939</v>
      </c>
      <c r="G41" s="5">
        <v>0.36507278310846603</v>
      </c>
      <c r="H41" s="5"/>
      <c r="I41" s="5">
        <v>2.7341941224673899E-2</v>
      </c>
      <c r="J41" s="5">
        <v>0.104600352164147</v>
      </c>
      <c r="K41" s="5">
        <v>-5.12704847241678E-2</v>
      </c>
      <c r="L41" s="5">
        <v>-0.10872676279782401</v>
      </c>
      <c r="M41" s="5">
        <v>0.131619391105432</v>
      </c>
      <c r="N41" s="5">
        <v>0.27179522826063401</v>
      </c>
      <c r="O41" s="5">
        <v>0.57855742458783299</v>
      </c>
    </row>
    <row r="42" spans="1:15" x14ac:dyDescent="0.2">
      <c r="A42" s="2" t="s">
        <v>44</v>
      </c>
      <c r="B42" s="5" t="str">
        <f t="shared" si="1"/>
        <v>SRS013155</v>
      </c>
      <c r="C42" s="5" t="s">
        <v>47</v>
      </c>
      <c r="D42" s="5">
        <v>-9.3697661860321302E-2</v>
      </c>
      <c r="E42" s="5">
        <v>-7.6079406051830695E-2</v>
      </c>
      <c r="F42" s="5">
        <v>-0.20998547214775201</v>
      </c>
      <c r="G42" s="5">
        <v>2.32053653362914E-2</v>
      </c>
      <c r="H42" s="5">
        <v>0.57760456273434502</v>
      </c>
      <c r="I42" s="5">
        <v>-0.19951812073737099</v>
      </c>
      <c r="J42" s="5">
        <v>4.3137915987803997E-2</v>
      </c>
      <c r="K42" s="5">
        <v>-0.17862466537132901</v>
      </c>
      <c r="L42" s="5">
        <v>-0.22082982187633299</v>
      </c>
      <c r="M42" s="5">
        <v>-8.6871806197023504E-2</v>
      </c>
      <c r="N42" s="5">
        <v>0.29476352659834998</v>
      </c>
      <c r="O42" s="5">
        <v>0.375767506101014</v>
      </c>
    </row>
    <row r="43" spans="1:15" x14ac:dyDescent="0.2">
      <c r="A43" s="2" t="s">
        <v>44</v>
      </c>
      <c r="B43" s="5" t="str">
        <f t="shared" si="1"/>
        <v>SRS013258</v>
      </c>
      <c r="C43" s="5" t="s">
        <v>48</v>
      </c>
      <c r="D43" s="5">
        <v>-6.4605156150930598E-2</v>
      </c>
      <c r="E43" s="5">
        <v>0.104378890494186</v>
      </c>
      <c r="F43" s="5">
        <v>-3.29111622605745E-2</v>
      </c>
      <c r="G43" s="5">
        <v>-0.24839631497568099</v>
      </c>
      <c r="H43" s="5">
        <v>0.43417882977529798</v>
      </c>
      <c r="I43" s="5">
        <v>-2.6541384480784799E-2</v>
      </c>
      <c r="J43" s="5">
        <v>8.9863585459175402E-2</v>
      </c>
      <c r="K43" s="5">
        <v>-0.103039714647173</v>
      </c>
      <c r="L43" s="5">
        <v>-0.27843357349861497</v>
      </c>
      <c r="M43" s="5">
        <v>0.204006145108589</v>
      </c>
      <c r="N43" s="5">
        <v>0.30544772991517</v>
      </c>
      <c r="O43" s="5">
        <v>0.64411069986145397</v>
      </c>
    </row>
    <row r="44" spans="1:15" x14ac:dyDescent="0.2">
      <c r="A44" s="2" t="s">
        <v>44</v>
      </c>
      <c r="B44" s="5" t="str">
        <f t="shared" si="1"/>
        <v>SRS013261</v>
      </c>
      <c r="C44" s="5" t="s">
        <v>49</v>
      </c>
      <c r="D44" s="5">
        <v>-5.2847073229751303E-2</v>
      </c>
      <c r="E44" s="5">
        <v>-3.9702254728237699E-2</v>
      </c>
      <c r="F44" s="5">
        <v>0.39057055389776302</v>
      </c>
      <c r="G44" s="5">
        <v>0.30126102756196199</v>
      </c>
      <c r="H44" s="5">
        <v>-0.25651369725346201</v>
      </c>
      <c r="I44" s="5">
        <v>-0.309731299323797</v>
      </c>
      <c r="J44" s="5">
        <v>9.1827482562651302E-2</v>
      </c>
      <c r="K44" s="5">
        <v>-9.3476717081518695E-2</v>
      </c>
      <c r="L44" s="5">
        <v>-0.30012199954277602</v>
      </c>
      <c r="M44" s="5">
        <v>0.35864812393874701</v>
      </c>
      <c r="N44" s="5">
        <v>0.27411002980201898</v>
      </c>
      <c r="O44" s="5">
        <v>0.67084872034388199</v>
      </c>
    </row>
    <row r="45" spans="1:15" x14ac:dyDescent="0.2">
      <c r="A45" s="2" t="s">
        <v>44</v>
      </c>
      <c r="B45" s="5" t="str">
        <f t="shared" si="1"/>
        <v>SRS013269</v>
      </c>
      <c r="C45" s="5" t="s">
        <v>50</v>
      </c>
      <c r="D45" s="5">
        <v>-0.113925865916175</v>
      </c>
      <c r="E45" s="5">
        <v>-7.4848359667879893E-2</v>
      </c>
      <c r="F45" s="5">
        <v>8.1098761896980107E-2</v>
      </c>
      <c r="G45" s="5">
        <v>-1.3816537808172401E-2</v>
      </c>
      <c r="H45" s="5"/>
      <c r="I45" s="5">
        <v>7.9426770812602895E-2</v>
      </c>
      <c r="J45" s="5">
        <v>6.06127562417723E-2</v>
      </c>
      <c r="K45" s="5">
        <v>-3.4300057432359199E-2</v>
      </c>
      <c r="L45" s="5">
        <v>-0.29899761737727598</v>
      </c>
      <c r="M45" s="5">
        <v>0.38233690642658402</v>
      </c>
      <c r="N45" s="5">
        <v>0.34112469431328701</v>
      </c>
      <c r="O45" s="5">
        <v>-0.68054893978335396</v>
      </c>
    </row>
    <row r="46" spans="1:15" x14ac:dyDescent="0.2">
      <c r="A46" s="2" t="s">
        <v>44</v>
      </c>
      <c r="B46" s="5" t="str">
        <f t="shared" si="1"/>
        <v>SRS013956</v>
      </c>
      <c r="C46" s="5" t="s">
        <v>51</v>
      </c>
      <c r="D46" s="5">
        <v>-0.175453362319373</v>
      </c>
      <c r="E46" s="5">
        <v>-0.113572304338406</v>
      </c>
      <c r="F46" s="5">
        <v>0.38008074315186602</v>
      </c>
      <c r="G46" s="5">
        <v>-0.29018980098649899</v>
      </c>
      <c r="H46" s="5"/>
      <c r="I46" s="5">
        <v>-5.3959674622606098E-2</v>
      </c>
      <c r="J46" s="5">
        <v>9.2697931441078296E-2</v>
      </c>
      <c r="K46" s="5">
        <v>-8.3398824799902099E-2</v>
      </c>
      <c r="L46" s="5">
        <v>-0.25256074870858403</v>
      </c>
      <c r="M46" s="5">
        <v>0.14197934750062799</v>
      </c>
      <c r="N46" s="5">
        <v>0.29222878954411002</v>
      </c>
      <c r="O46" s="5">
        <v>0.65936938824747904</v>
      </c>
    </row>
    <row r="47" spans="1:15" x14ac:dyDescent="0.2">
      <c r="A47" s="2" t="s">
        <v>44</v>
      </c>
      <c r="B47" s="5" t="str">
        <f t="shared" si="1"/>
        <v>SRS014464</v>
      </c>
      <c r="C47" s="5" t="s">
        <v>52</v>
      </c>
      <c r="D47" s="5">
        <v>0.121022748240575</v>
      </c>
      <c r="E47" s="5">
        <v>0.122653939042059</v>
      </c>
      <c r="F47" s="5">
        <v>3.1095319068541301E-2</v>
      </c>
      <c r="G47" s="5">
        <v>0.230063427862046</v>
      </c>
      <c r="H47" s="5"/>
      <c r="I47" s="5">
        <v>7.1727423750616304E-2</v>
      </c>
      <c r="J47" s="5">
        <v>0.122966686259224</v>
      </c>
      <c r="K47" s="5">
        <v>-0.22468990214505899</v>
      </c>
      <c r="L47" s="5">
        <v>-0.278749612153673</v>
      </c>
      <c r="M47" s="5">
        <v>-5.9634569810763503E-2</v>
      </c>
      <c r="N47" s="5">
        <v>0.25958539196999098</v>
      </c>
      <c r="O47" s="5">
        <v>0.37493785696629001</v>
      </c>
    </row>
    <row r="48" spans="1:15" x14ac:dyDescent="0.2">
      <c r="A48" s="2" t="s">
        <v>44</v>
      </c>
      <c r="B48" s="5" t="str">
        <f t="shared" si="1"/>
        <v>SRS015752</v>
      </c>
      <c r="C48" s="5" t="s">
        <v>53</v>
      </c>
      <c r="D48" s="5">
        <v>0.213595114670147</v>
      </c>
      <c r="E48" s="5">
        <v>9.5565375555058799E-2</v>
      </c>
      <c r="F48" s="5">
        <v>6.7292962678547397E-2</v>
      </c>
      <c r="G48" s="5">
        <v>-0.71622564018185397</v>
      </c>
      <c r="H48" s="5">
        <v>-6.3289383351563006E-2</v>
      </c>
      <c r="I48" s="5">
        <v>-0.22494739381915499</v>
      </c>
      <c r="J48" s="5">
        <v>9.1077723253504397E-2</v>
      </c>
      <c r="K48" s="5">
        <v>-0.18831101829275601</v>
      </c>
      <c r="L48" s="5">
        <v>-0.26476914547150798</v>
      </c>
      <c r="M48" s="5">
        <v>-5.2069767008641799E-2</v>
      </c>
      <c r="N48" s="5">
        <v>0.252856298570178</v>
      </c>
      <c r="O48" s="5">
        <v>0.351681706152569</v>
      </c>
    </row>
    <row r="49" spans="1:15" x14ac:dyDescent="0.2">
      <c r="A49" s="2" t="s">
        <v>44</v>
      </c>
      <c r="B49" s="5" t="str">
        <f t="shared" si="1"/>
        <v>SRS015937</v>
      </c>
      <c r="C49" s="5" t="s">
        <v>54</v>
      </c>
      <c r="D49" s="5">
        <v>-1.90838836744559E-3</v>
      </c>
      <c r="E49" s="5">
        <v>3.7912233793330197E-2</v>
      </c>
      <c r="F49" s="5">
        <v>0.108593775646066</v>
      </c>
      <c r="G49" s="5">
        <v>-7.5693600281887697E-3</v>
      </c>
      <c r="H49" s="5">
        <v>-0.64140970291032995</v>
      </c>
      <c r="I49" s="5">
        <v>-0.26075315210636202</v>
      </c>
      <c r="J49" s="5">
        <v>0.106845479106047</v>
      </c>
      <c r="K49" s="5">
        <v>-0.23167460982458801</v>
      </c>
      <c r="L49" s="5">
        <v>-0.19749335467603699</v>
      </c>
      <c r="M49" s="5">
        <v>-8.8524243664860905E-2</v>
      </c>
      <c r="N49" s="5">
        <v>0.266478707929931</v>
      </c>
      <c r="O49" s="5">
        <v>0.70220217961633602</v>
      </c>
    </row>
    <row r="50" spans="1:15" x14ac:dyDescent="0.2">
      <c r="A50" s="2" t="s">
        <v>44</v>
      </c>
      <c r="B50" s="5" t="str">
        <f t="shared" si="1"/>
        <v>SRS015996</v>
      </c>
      <c r="C50" s="5" t="s">
        <v>55</v>
      </c>
      <c r="D50" s="5">
        <v>0.204759621346256</v>
      </c>
      <c r="E50" s="5">
        <v>-0.26271382984177899</v>
      </c>
      <c r="F50" s="5">
        <v>-0.143206893281937</v>
      </c>
      <c r="G50" s="5">
        <v>8.3169049926986094E-2</v>
      </c>
      <c r="H50" s="5"/>
      <c r="I50" s="5">
        <v>-4.05914748517427E-2</v>
      </c>
      <c r="J50" s="5">
        <v>0.11547169827128</v>
      </c>
      <c r="K50" s="5">
        <v>-0.157082345737069</v>
      </c>
      <c r="L50" s="5">
        <v>-0.26269234505911199</v>
      </c>
      <c r="M50" s="5">
        <v>3.1851893545915E-2</v>
      </c>
      <c r="N50" s="5">
        <v>0.272443361126809</v>
      </c>
      <c r="O50" s="5">
        <v>0.356495071037779</v>
      </c>
    </row>
    <row r="51" spans="1:15" x14ac:dyDescent="0.2">
      <c r="A51" s="2" t="s">
        <v>44</v>
      </c>
      <c r="B51" s="5" t="str">
        <f t="shared" si="1"/>
        <v>SRS016033</v>
      </c>
      <c r="C51" s="5" t="s">
        <v>56</v>
      </c>
      <c r="D51" s="5">
        <v>1.6361955294133399E-2</v>
      </c>
      <c r="E51" s="5">
        <v>-9.7812989068349995E-2</v>
      </c>
      <c r="F51" s="5">
        <v>0.36793085810293202</v>
      </c>
      <c r="G51" s="5">
        <v>4.0653194179619503E-2</v>
      </c>
      <c r="H51" s="5"/>
      <c r="I51" s="5">
        <v>0.25166240718564897</v>
      </c>
      <c r="J51" s="5">
        <v>-0.243248924966287</v>
      </c>
      <c r="K51" s="5">
        <v>-0.17648427565292801</v>
      </c>
      <c r="L51" s="5">
        <v>-0.27192211805458399</v>
      </c>
      <c r="M51" s="5">
        <v>-9.9808469886945098E-2</v>
      </c>
      <c r="N51" s="5">
        <v>0.28595772794792701</v>
      </c>
      <c r="O51" s="5">
        <v>-1.7624202331714401E-2</v>
      </c>
    </row>
    <row r="52" spans="1:15" x14ac:dyDescent="0.2">
      <c r="A52" s="2" t="s">
        <v>44</v>
      </c>
      <c r="B52" s="5" t="str">
        <f t="shared" si="1"/>
        <v>SRS016292</v>
      </c>
      <c r="C52" s="5" t="s">
        <v>57</v>
      </c>
      <c r="D52" s="5">
        <v>-3.7524852542400802E-2</v>
      </c>
      <c r="E52" s="5">
        <v>-0.18675987712146699</v>
      </c>
      <c r="F52" s="5">
        <v>2.53095143988235E-2</v>
      </c>
      <c r="G52" s="5">
        <v>-0.15465429351787699</v>
      </c>
      <c r="H52" s="5"/>
      <c r="I52" s="5">
        <v>6.3503920272647299E-2</v>
      </c>
      <c r="J52" s="5">
        <v>8.5292747396325003E-2</v>
      </c>
      <c r="K52" s="5">
        <v>-2.5680095669839101E-2</v>
      </c>
      <c r="L52" s="5">
        <v>-7.22530032332208E-2</v>
      </c>
      <c r="M52" s="5">
        <v>0.19966820594606</v>
      </c>
      <c r="N52" s="5">
        <v>0.26963877943256598</v>
      </c>
      <c r="O52" s="5">
        <v>0.65872521305998999</v>
      </c>
    </row>
    <row r="53" spans="1:15" x14ac:dyDescent="0.2">
      <c r="A53" s="2" t="s">
        <v>44</v>
      </c>
      <c r="B53" s="5" t="str">
        <f t="shared" si="1"/>
        <v>SRS016434</v>
      </c>
      <c r="C53" s="5" t="s">
        <v>58</v>
      </c>
      <c r="D53" s="5">
        <v>-5.8223530431219597E-2</v>
      </c>
      <c r="E53" s="5">
        <v>0.156917211761882</v>
      </c>
      <c r="F53" s="5">
        <v>6.9584230883058207E-2</v>
      </c>
      <c r="G53" s="5">
        <v>0.71245907167951705</v>
      </c>
      <c r="H53" s="5"/>
      <c r="I53" s="5">
        <v>-0.19176305621596901</v>
      </c>
      <c r="J53" s="5">
        <v>-9.5507792540907605E-2</v>
      </c>
      <c r="K53" s="5">
        <v>-0.13452728033862801</v>
      </c>
      <c r="L53" s="5">
        <v>-0.11629445517640501</v>
      </c>
      <c r="M53" s="5">
        <v>-9.5805781647007301E-2</v>
      </c>
      <c r="N53" s="5">
        <v>0.25958539196999098</v>
      </c>
      <c r="O53" s="5">
        <v>0.70175377476906997</v>
      </c>
    </row>
    <row r="54" spans="1:15" x14ac:dyDescent="0.2">
      <c r="A54" s="2" t="s">
        <v>44</v>
      </c>
      <c r="B54" s="5" t="str">
        <f t="shared" si="1"/>
        <v>SRS016513</v>
      </c>
      <c r="C54" s="5" t="s">
        <v>59</v>
      </c>
      <c r="D54" s="5">
        <v>2.6256589684560398E-2</v>
      </c>
      <c r="E54" s="5">
        <v>-1.69922357264101E-2</v>
      </c>
      <c r="F54" s="5">
        <v>0.22632655307166499</v>
      </c>
      <c r="G54" s="5">
        <v>0.24992022432001801</v>
      </c>
      <c r="H54" s="5"/>
      <c r="I54" s="5">
        <v>-4.2593763705959199E-3</v>
      </c>
      <c r="J54" s="5">
        <v>-0.55492715321113195</v>
      </c>
      <c r="K54" s="5">
        <v>-0.24588820469269501</v>
      </c>
      <c r="L54" s="5">
        <v>-0.47440054879333798</v>
      </c>
      <c r="M54" s="5">
        <v>0.34109798674259301</v>
      </c>
      <c r="N54" s="5">
        <v>0.302725058071872</v>
      </c>
      <c r="O54" s="5">
        <v>0.25841890897818498</v>
      </c>
    </row>
    <row r="55" spans="1:15" x14ac:dyDescent="0.2">
      <c r="A55" s="2" t="s">
        <v>44</v>
      </c>
      <c r="B55" s="5" t="str">
        <f t="shared" si="1"/>
        <v>SRS016581</v>
      </c>
      <c r="C55" s="5" t="s">
        <v>60</v>
      </c>
      <c r="D55" s="5">
        <v>-0.17222305974832899</v>
      </c>
      <c r="E55" s="5">
        <v>-9.67251165791055E-2</v>
      </c>
      <c r="F55" s="5">
        <v>0.27424062058436</v>
      </c>
      <c r="G55" s="5">
        <v>0.266107088689502</v>
      </c>
      <c r="H55" s="5"/>
      <c r="I55" s="5">
        <v>1.9275512482966901E-3</v>
      </c>
      <c r="J55" s="5">
        <v>-7.2328778591472798E-2</v>
      </c>
      <c r="K55" s="5">
        <v>5.9366079223927802E-3</v>
      </c>
      <c r="L55" s="5">
        <v>-6.6050423822316601E-2</v>
      </c>
      <c r="M55" s="5">
        <v>0.24143874385210201</v>
      </c>
      <c r="N55" s="5">
        <v>0.34502582046050401</v>
      </c>
      <c r="O55" s="5">
        <v>-0.78769259365995103</v>
      </c>
    </row>
    <row r="56" spans="1:15" x14ac:dyDescent="0.2">
      <c r="A56" s="2" t="s">
        <v>44</v>
      </c>
      <c r="B56" s="5" t="str">
        <f t="shared" si="1"/>
        <v>SRS017044</v>
      </c>
      <c r="C56" s="5" t="s">
        <v>61</v>
      </c>
      <c r="D56" s="5">
        <v>1.74778926305094E-2</v>
      </c>
      <c r="E56" s="5">
        <v>0.40846376264941597</v>
      </c>
      <c r="F56" s="5">
        <v>6.27810142813568E-3</v>
      </c>
      <c r="G56" s="5">
        <v>-0.32299954368720801</v>
      </c>
      <c r="H56" s="5"/>
      <c r="I56" s="5">
        <v>-0.165421608238012</v>
      </c>
      <c r="J56" s="5">
        <v>-0.15672622246520701</v>
      </c>
      <c r="K56" s="5">
        <v>-0.14175965611843699</v>
      </c>
      <c r="L56" s="5">
        <v>-0.232065155366702</v>
      </c>
      <c r="M56" s="5">
        <v>-9.2753445358852799E-2</v>
      </c>
      <c r="N56" s="5">
        <v>0.26881560740621702</v>
      </c>
      <c r="O56" s="5">
        <v>0.20974129275863901</v>
      </c>
    </row>
    <row r="57" spans="1:15" x14ac:dyDescent="0.2">
      <c r="A57" s="2" t="s">
        <v>44</v>
      </c>
      <c r="B57" s="5" t="str">
        <f t="shared" si="1"/>
        <v>SRS017244</v>
      </c>
      <c r="C57" s="5" t="s">
        <v>62</v>
      </c>
      <c r="D57" s="5">
        <v>0.121441653488652</v>
      </c>
      <c r="E57" s="5">
        <v>1.8396313204564401E-2</v>
      </c>
      <c r="F57" s="5">
        <v>-8.3449700019467804E-2</v>
      </c>
      <c r="G57" s="5">
        <v>0.14335014859907899</v>
      </c>
      <c r="H57" s="5"/>
      <c r="I57" s="5">
        <v>-0.481824079089339</v>
      </c>
      <c r="J57" s="5">
        <v>0.101773349008489</v>
      </c>
      <c r="K57" s="5">
        <v>-0.178157738501065</v>
      </c>
      <c r="L57" s="5">
        <v>-0.17826672896669099</v>
      </c>
      <c r="M57" s="5">
        <v>-9.38114479875959E-2</v>
      </c>
      <c r="N57" s="5">
        <v>0.25958539196999098</v>
      </c>
      <c r="O57" s="5">
        <v>0.65763838031231203</v>
      </c>
    </row>
    <row r="58" spans="1:15" x14ac:dyDescent="0.2">
      <c r="A58" s="2" t="s">
        <v>44</v>
      </c>
      <c r="B58" s="5" t="str">
        <f t="shared" si="1"/>
        <v>SRS017451</v>
      </c>
      <c r="C58" s="5" t="s">
        <v>63</v>
      </c>
      <c r="D58" s="5">
        <v>2.7158956608527102E-2</v>
      </c>
      <c r="E58" s="5">
        <v>-0.113794618055872</v>
      </c>
      <c r="F58" s="5">
        <v>-0.24915216573597301</v>
      </c>
      <c r="G58" s="5">
        <v>-0.427181864116424</v>
      </c>
      <c r="H58" s="5">
        <v>0.125609164660103</v>
      </c>
      <c r="I58" s="5">
        <v>6.5550207011729797E-2</v>
      </c>
      <c r="J58" s="5">
        <v>0.121341524987164</v>
      </c>
      <c r="K58" s="5">
        <v>-0.109315353597808</v>
      </c>
      <c r="L58" s="5">
        <v>-0.28896739110193798</v>
      </c>
      <c r="M58" s="5">
        <v>4.18142086993228E-2</v>
      </c>
      <c r="N58" s="5">
        <v>0.28514148180251803</v>
      </c>
      <c r="O58" s="5">
        <v>0.32484496734678803</v>
      </c>
    </row>
    <row r="59" spans="1:15" x14ac:dyDescent="0.2">
      <c r="A59" s="2" t="s">
        <v>44</v>
      </c>
      <c r="B59" s="5" t="str">
        <f t="shared" si="1"/>
        <v>SRS017697</v>
      </c>
      <c r="C59" s="5" t="s">
        <v>64</v>
      </c>
      <c r="D59" s="5">
        <v>3.09820680623022E-2</v>
      </c>
      <c r="E59" s="5">
        <v>0.328968682431524</v>
      </c>
      <c r="F59" s="5">
        <v>0.22716461957411699</v>
      </c>
      <c r="G59" s="5">
        <v>0.12744392324194001</v>
      </c>
      <c r="H59" s="5"/>
      <c r="I59" s="5">
        <v>-8.1450699520429007E-2</v>
      </c>
      <c r="J59" s="5">
        <v>0.107423964915843</v>
      </c>
      <c r="K59" s="5">
        <v>-0.14691914398587599</v>
      </c>
      <c r="L59" s="5">
        <v>-0.18106123746438399</v>
      </c>
      <c r="M59" s="5">
        <v>-9.3097420370767195E-2</v>
      </c>
      <c r="N59" s="5">
        <v>0.27777718642840898</v>
      </c>
      <c r="O59" s="5">
        <v>0.30454748552309002</v>
      </c>
    </row>
    <row r="60" spans="1:15" x14ac:dyDescent="0.2">
      <c r="A60" s="2" t="s">
        <v>44</v>
      </c>
      <c r="B60" s="5" t="str">
        <f t="shared" si="1"/>
        <v>SRS018312</v>
      </c>
      <c r="C60" s="5" t="s">
        <v>65</v>
      </c>
      <c r="D60" s="5">
        <v>-9.1379928209250297E-2</v>
      </c>
      <c r="E60" s="5">
        <v>-0.246692590552925</v>
      </c>
      <c r="F60" s="5">
        <v>2.8921818486226599E-2</v>
      </c>
      <c r="G60" s="5">
        <v>-6.6570536178517006E-2</v>
      </c>
      <c r="H60" s="5"/>
      <c r="I60" s="5">
        <v>0.16493235985957899</v>
      </c>
      <c r="J60" s="5">
        <v>-0.60205382222846004</v>
      </c>
      <c r="K60" s="5">
        <v>-0.22092440237330199</v>
      </c>
      <c r="L60" s="5">
        <v>-0.23040305497939401</v>
      </c>
      <c r="M60" s="5">
        <v>0.37719216740791001</v>
      </c>
      <c r="N60" s="5">
        <v>0.25958539196999098</v>
      </c>
      <c r="O60" s="5">
        <v>0.40896889920052198</v>
      </c>
    </row>
    <row r="61" spans="1:15" x14ac:dyDescent="0.2">
      <c r="A61" s="2" t="s">
        <v>44</v>
      </c>
      <c r="B61" s="5" t="str">
        <f t="shared" si="1"/>
        <v>SRS018463</v>
      </c>
      <c r="C61" s="5" t="s">
        <v>66</v>
      </c>
      <c r="D61" s="5">
        <v>-0.17046245959414899</v>
      </c>
      <c r="E61" s="5">
        <v>0.21161962875772899</v>
      </c>
      <c r="F61" s="5">
        <v>-9.8882817189584801E-3</v>
      </c>
      <c r="G61" s="5">
        <v>3.9095547799837697E-2</v>
      </c>
      <c r="H61" s="5">
        <v>0.24854921847970901</v>
      </c>
      <c r="I61" s="5">
        <v>-0.12917142127786799</v>
      </c>
      <c r="J61" s="5">
        <v>-0.45303964848692801</v>
      </c>
      <c r="K61" s="5">
        <v>-0.109134083071769</v>
      </c>
      <c r="L61" s="5">
        <v>-0.24446123298223199</v>
      </c>
      <c r="M61" s="5">
        <v>0.25727345503073601</v>
      </c>
      <c r="N61" s="5">
        <v>0.37088998688463498</v>
      </c>
      <c r="O61" s="5">
        <v>0.78165497665953698</v>
      </c>
    </row>
    <row r="62" spans="1:15" x14ac:dyDescent="0.2">
      <c r="A62" s="2" t="s">
        <v>44</v>
      </c>
      <c r="B62" s="5" t="str">
        <f t="shared" si="1"/>
        <v>SRS018585</v>
      </c>
      <c r="C62" s="5" t="s">
        <v>67</v>
      </c>
      <c r="D62" s="5">
        <v>8.7820624749787302E-2</v>
      </c>
      <c r="E62" s="5">
        <v>0.220773312813591</v>
      </c>
      <c r="F62" s="5">
        <v>-0.29753372364337799</v>
      </c>
      <c r="G62" s="5">
        <v>-0.22250469547643201</v>
      </c>
      <c r="H62" s="5"/>
      <c r="I62" s="5">
        <v>0.32750354396414599</v>
      </c>
      <c r="J62" s="5">
        <v>-7.02339979974273E-3</v>
      </c>
      <c r="K62" s="5">
        <v>-7.6635071553302306E-2</v>
      </c>
      <c r="L62" s="5">
        <v>-8.4285459566657006E-2</v>
      </c>
      <c r="M62" s="5">
        <v>-9.4791858436000506E-2</v>
      </c>
      <c r="N62" s="5">
        <v>0.25958539196999098</v>
      </c>
      <c r="O62" s="5">
        <v>0.65283155348303901</v>
      </c>
    </row>
    <row r="63" spans="1:15" x14ac:dyDescent="0.2">
      <c r="A63" s="2" t="s">
        <v>44</v>
      </c>
      <c r="B63" s="5" t="str">
        <f t="shared" si="1"/>
        <v>SRS018671</v>
      </c>
      <c r="C63" s="5" t="s">
        <v>68</v>
      </c>
      <c r="D63" s="5">
        <v>-7.4779054426008698E-2</v>
      </c>
      <c r="E63" s="5">
        <v>0.18989016911199999</v>
      </c>
      <c r="F63" s="5">
        <v>0.110085895286891</v>
      </c>
      <c r="G63" s="5">
        <v>0.41242220636099403</v>
      </c>
      <c r="H63" s="5"/>
      <c r="I63" s="5">
        <v>3.7874931576762402E-2</v>
      </c>
      <c r="J63" s="5">
        <v>-3.3113201170520898E-2</v>
      </c>
      <c r="K63" s="5">
        <v>-0.18701566626646199</v>
      </c>
      <c r="L63" s="5">
        <v>-0.20825476283644001</v>
      </c>
      <c r="M63" s="5">
        <v>-9.1796567865011794E-2</v>
      </c>
      <c r="N63" s="5">
        <v>0.26932114855863898</v>
      </c>
      <c r="O63" s="5">
        <v>0.59106973145133102</v>
      </c>
    </row>
    <row r="64" spans="1:15" x14ac:dyDescent="0.2">
      <c r="A64" s="2" t="s">
        <v>44</v>
      </c>
      <c r="B64" s="5" t="str">
        <f t="shared" si="1"/>
        <v>SRS018784</v>
      </c>
      <c r="C64" s="5" t="s">
        <v>69</v>
      </c>
      <c r="D64" s="5">
        <v>-9.1758294744261906E-2</v>
      </c>
      <c r="E64" s="5">
        <v>-5.2417315372648099E-2</v>
      </c>
      <c r="F64" s="5">
        <v>1.7573181844929701E-3</v>
      </c>
      <c r="G64" s="5">
        <v>-0.11531380094794701</v>
      </c>
      <c r="H64" s="5"/>
      <c r="I64" s="5">
        <v>-8.7295257842010504E-2</v>
      </c>
      <c r="J64" s="5">
        <v>0.103307954146748</v>
      </c>
      <c r="K64" s="5">
        <v>-4.7473863772795499E-2</v>
      </c>
      <c r="L64" s="5">
        <v>-0.12898084670531701</v>
      </c>
      <c r="M64" s="5">
        <v>0.143793379984957</v>
      </c>
      <c r="N64" s="5">
        <v>0.268729739074686</v>
      </c>
      <c r="O64" s="5">
        <v>0.54720741036325404</v>
      </c>
    </row>
    <row r="65" spans="1:15" x14ac:dyDescent="0.2">
      <c r="A65" s="2" t="s">
        <v>44</v>
      </c>
      <c r="B65" s="5" t="str">
        <f t="shared" si="1"/>
        <v>SRS018981</v>
      </c>
      <c r="C65" s="5" t="s">
        <v>70</v>
      </c>
      <c r="D65" s="5">
        <v>-9.9746905395082602E-2</v>
      </c>
      <c r="E65" s="5">
        <v>-1.2811198508539E-3</v>
      </c>
      <c r="F65" s="5">
        <v>0.20932101492949401</v>
      </c>
      <c r="G65" s="5">
        <v>0.71847362758891897</v>
      </c>
      <c r="H65" s="5"/>
      <c r="I65" s="5">
        <v>0.152878780643809</v>
      </c>
      <c r="J65" s="5">
        <v>7.81034295096244E-2</v>
      </c>
      <c r="K65" s="5">
        <v>-9.9880825526785705E-2</v>
      </c>
      <c r="L65" s="5">
        <v>-0.29277512607537098</v>
      </c>
      <c r="M65" s="5">
        <v>0.21066734550114999</v>
      </c>
      <c r="N65" s="5">
        <v>0.28435271025644099</v>
      </c>
      <c r="O65" s="5">
        <v>0.64606187003356996</v>
      </c>
    </row>
    <row r="66" spans="1:15" x14ac:dyDescent="0.2">
      <c r="A66" s="2" t="s">
        <v>44</v>
      </c>
      <c r="B66" s="5" t="str">
        <f t="shared" si="1"/>
        <v>SRS019067</v>
      </c>
      <c r="C66" s="5" t="s">
        <v>71</v>
      </c>
      <c r="D66" s="5">
        <v>-3.7201446752944102E-2</v>
      </c>
      <c r="E66" s="5">
        <v>-4.5724633294203197E-2</v>
      </c>
      <c r="F66" s="5">
        <v>-4.4883462721361598E-3</v>
      </c>
      <c r="G66" s="5">
        <v>0.21617896397802899</v>
      </c>
      <c r="H66" s="5"/>
      <c r="I66" s="5">
        <v>-5.81219060000795E-2</v>
      </c>
      <c r="J66" s="5">
        <v>0.10766309026339101</v>
      </c>
      <c r="K66" s="5">
        <v>-9.4315698548772704E-3</v>
      </c>
      <c r="L66" s="5">
        <v>-7.0301958045428103E-2</v>
      </c>
      <c r="M66" s="5">
        <v>9.9545837746446306E-2</v>
      </c>
      <c r="N66" s="5">
        <v>0.30602794111568299</v>
      </c>
      <c r="O66" s="5">
        <v>0.69686735584774595</v>
      </c>
    </row>
    <row r="67" spans="1:15" x14ac:dyDescent="0.2">
      <c r="A67" s="2" t="s">
        <v>44</v>
      </c>
      <c r="B67" s="5" t="str">
        <f t="shared" si="1"/>
        <v>SRS019215</v>
      </c>
      <c r="C67" s="5" t="s">
        <v>72</v>
      </c>
      <c r="D67" s="5">
        <v>8.6973340385994898E-4</v>
      </c>
      <c r="E67" s="5">
        <v>-0.105169022616734</v>
      </c>
      <c r="F67" s="5">
        <v>-7.6967021878123806E-2</v>
      </c>
      <c r="G67" s="5">
        <v>-6.8231105971671896E-2</v>
      </c>
      <c r="H67" s="5"/>
      <c r="I67" s="5">
        <v>-0.229951136199951</v>
      </c>
      <c r="J67" s="5">
        <v>-0.22336060308925601</v>
      </c>
      <c r="K67" s="5">
        <v>5.0646911485604802E-4</v>
      </c>
      <c r="L67" s="5">
        <v>-0.221911572555123</v>
      </c>
      <c r="M67" s="5">
        <v>0.26463813189045599</v>
      </c>
      <c r="N67" s="5">
        <v>0.33489411889645698</v>
      </c>
      <c r="O67" s="5">
        <v>-0.70904689383287001</v>
      </c>
    </row>
    <row r="68" spans="1:15" x14ac:dyDescent="0.2">
      <c r="A68" s="2" t="s">
        <v>44</v>
      </c>
      <c r="B68" s="5" t="str">
        <f t="shared" si="1"/>
        <v>SRS019386</v>
      </c>
      <c r="C68" s="5" t="s">
        <v>73</v>
      </c>
      <c r="D68" s="5">
        <v>9.8718894071240695E-2</v>
      </c>
      <c r="E68" s="5">
        <v>6.3384192456211894E-2</v>
      </c>
      <c r="F68" s="5">
        <v>0.33488268260404802</v>
      </c>
      <c r="G68" s="5">
        <v>-0.26382742998478398</v>
      </c>
      <c r="H68" s="5"/>
      <c r="I68" s="5">
        <v>-0.21077651351023599</v>
      </c>
      <c r="J68" s="5">
        <v>0.12398348300853899</v>
      </c>
      <c r="K68" s="5">
        <v>-0.19896787820811801</v>
      </c>
      <c r="L68" s="5">
        <v>-0.25932467955212202</v>
      </c>
      <c r="M68" s="5">
        <v>-8.9438090614285704E-2</v>
      </c>
      <c r="N68" s="5">
        <v>0.26424920211110797</v>
      </c>
      <c r="O68" s="5">
        <v>0.62906880766857498</v>
      </c>
    </row>
    <row r="69" spans="1:15" x14ac:dyDescent="0.2">
      <c r="A69" s="2" t="s">
        <v>44</v>
      </c>
      <c r="B69" s="5" t="str">
        <f t="shared" si="1"/>
        <v>SRS019986</v>
      </c>
      <c r="C69" s="5" t="s">
        <v>74</v>
      </c>
      <c r="D69" s="5">
        <v>1.43908187487382E-2</v>
      </c>
      <c r="E69" s="5">
        <v>-4.4360722209784799E-2</v>
      </c>
      <c r="F69" s="5">
        <v>-7.0199846982401101E-2</v>
      </c>
      <c r="G69" s="5">
        <v>-0.140781119482217</v>
      </c>
      <c r="H69" s="5"/>
      <c r="I69" s="5">
        <v>-0.28678309081704501</v>
      </c>
      <c r="J69" s="5">
        <v>5.46026914487385E-2</v>
      </c>
      <c r="K69" s="5">
        <v>-6.2658739720225703E-2</v>
      </c>
      <c r="L69" s="5">
        <v>-0.12302863616154799</v>
      </c>
      <c r="M69" s="5">
        <v>0.12485191379800099</v>
      </c>
      <c r="N69" s="5">
        <v>0.27644565316849101</v>
      </c>
      <c r="O69" s="5">
        <v>0.52025025772942501</v>
      </c>
    </row>
    <row r="70" spans="1:15" x14ac:dyDescent="0.2">
      <c r="A70" s="2" t="s">
        <v>44</v>
      </c>
      <c r="B70" s="5" t="str">
        <f t="shared" si="1"/>
        <v>SRS022645</v>
      </c>
      <c r="C70" s="5" t="s">
        <v>75</v>
      </c>
      <c r="D70" s="5">
        <v>-6.3094650189376003E-2</v>
      </c>
      <c r="E70" s="5">
        <v>0.21662274317219199</v>
      </c>
      <c r="F70" s="5">
        <v>0.19494137949323301</v>
      </c>
      <c r="G70" s="5">
        <v>0.27440811528196801</v>
      </c>
      <c r="H70" s="5"/>
      <c r="I70" s="5">
        <v>-4.4067972276285602E-2</v>
      </c>
      <c r="J70" s="5">
        <v>-0.68774965864023196</v>
      </c>
      <c r="K70" s="5">
        <v>5.3674981874534199E-2</v>
      </c>
      <c r="L70" s="5">
        <v>4.6250971500300997E-2</v>
      </c>
      <c r="M70" s="5">
        <v>3.06926154144424E-2</v>
      </c>
      <c r="N70" s="5">
        <v>0.33466369006164298</v>
      </c>
      <c r="O70" s="5">
        <v>-0.87529542408818395</v>
      </c>
    </row>
    <row r="71" spans="1:15" x14ac:dyDescent="0.2">
      <c r="A71" s="2" t="s">
        <v>44</v>
      </c>
      <c r="B71" s="5" t="str">
        <f t="shared" si="1"/>
        <v>SRS023970</v>
      </c>
      <c r="C71" s="5" t="s">
        <v>76</v>
      </c>
      <c r="D71" s="5">
        <v>7.0682551375768801E-2</v>
      </c>
      <c r="E71" s="5">
        <v>-0.124852454726791</v>
      </c>
      <c r="F71" s="5">
        <v>0.34276039400564601</v>
      </c>
      <c r="G71" s="5">
        <v>-0.14871350646610401</v>
      </c>
      <c r="H71" s="5">
        <v>0.38536829050539101</v>
      </c>
      <c r="I71" s="5">
        <v>9.7113453547466103E-2</v>
      </c>
      <c r="J71" s="5">
        <v>4.5772811849808602E-2</v>
      </c>
      <c r="K71" s="5">
        <v>-0.22628382121302401</v>
      </c>
      <c r="L71" s="5">
        <v>-0.16886259606190901</v>
      </c>
      <c r="M71" s="5">
        <v>-8.6688485285244393E-2</v>
      </c>
      <c r="N71" s="5">
        <v>0.26302444347161402</v>
      </c>
      <c r="O71" s="5">
        <v>0.67693538918679297</v>
      </c>
    </row>
    <row r="72" spans="1:15" x14ac:dyDescent="0.2">
      <c r="A72" s="2" t="s">
        <v>44</v>
      </c>
      <c r="B72" s="5" t="str">
        <f t="shared" si="1"/>
        <v>SRS024482</v>
      </c>
      <c r="C72" s="5" t="s">
        <v>77</v>
      </c>
      <c r="D72" s="5">
        <v>6.8919974275809199E-3</v>
      </c>
      <c r="E72" s="5">
        <v>-0.104119363135146</v>
      </c>
      <c r="F72" s="5">
        <v>-0.17087413594909501</v>
      </c>
      <c r="G72" s="5">
        <v>6.4456647195585597E-3</v>
      </c>
      <c r="H72" s="5">
        <v>0.91917872911332899</v>
      </c>
      <c r="I72" s="5">
        <v>-0.21550656358622899</v>
      </c>
      <c r="J72" s="5">
        <v>8.9924805954047393E-2</v>
      </c>
      <c r="K72" s="5">
        <v>-0.100357192253059</v>
      </c>
      <c r="L72" s="5">
        <v>-0.23768755200237501</v>
      </c>
      <c r="M72" s="5">
        <v>0.36410505085168499</v>
      </c>
      <c r="N72" s="5">
        <v>0.286678322752626</v>
      </c>
      <c r="O72" s="5">
        <v>0.68960935369306597</v>
      </c>
    </row>
    <row r="73" spans="1:15" x14ac:dyDescent="0.2">
      <c r="A73" s="2" t="s">
        <v>44</v>
      </c>
      <c r="B73" s="5" t="str">
        <f t="shared" si="1"/>
        <v>SRS024567</v>
      </c>
      <c r="C73" s="5" t="s">
        <v>78</v>
      </c>
      <c r="D73" s="5">
        <v>7.9151586651323297E-3</v>
      </c>
      <c r="E73" s="5">
        <v>-1.7164497817428001E-2</v>
      </c>
      <c r="F73" s="5">
        <v>-2.8817869759637502E-2</v>
      </c>
      <c r="G73" s="5">
        <v>0.33951252501069201</v>
      </c>
      <c r="H73" s="5"/>
      <c r="I73" s="5">
        <v>3.7527491920301199E-2</v>
      </c>
      <c r="J73" s="5">
        <v>0.11142003980396099</v>
      </c>
      <c r="K73" s="5">
        <v>-0.207509253861201</v>
      </c>
      <c r="L73" s="5">
        <v>-0.20362914681604799</v>
      </c>
      <c r="M73" s="5">
        <v>-8.8100965293392799E-2</v>
      </c>
      <c r="N73" s="5">
        <v>0.25958539196999098</v>
      </c>
      <c r="O73" s="5">
        <v>0.68764869520056204</v>
      </c>
    </row>
    <row r="74" spans="1:15" x14ac:dyDescent="0.2">
      <c r="A74" s="2" t="s">
        <v>44</v>
      </c>
      <c r="B74" s="5" t="str">
        <f t="shared" si="1"/>
        <v>SRS024596</v>
      </c>
      <c r="C74" s="5" t="s">
        <v>79</v>
      </c>
      <c r="D74" s="5">
        <v>-0.15009196289475299</v>
      </c>
      <c r="E74" s="5">
        <v>-0.132299950966868</v>
      </c>
      <c r="F74" s="5">
        <v>6.7616178809866895E-2</v>
      </c>
      <c r="G74" s="5">
        <v>0.143189405343395</v>
      </c>
      <c r="H74" s="5">
        <v>-7.5280032199370198E-2</v>
      </c>
      <c r="I74" s="5">
        <v>0.119414085173679</v>
      </c>
      <c r="J74" s="5">
        <v>9.0081832379223195E-2</v>
      </c>
      <c r="K74" s="5">
        <v>-9.4036991143803997E-2</v>
      </c>
      <c r="L74" s="5">
        <v>-0.187789044758843</v>
      </c>
      <c r="M74" s="5">
        <v>0.36846784742087302</v>
      </c>
      <c r="N74" s="5">
        <v>0.24252001983813201</v>
      </c>
      <c r="O74" s="5">
        <v>0.68926171262157199</v>
      </c>
    </row>
    <row r="75" spans="1:15" x14ac:dyDescent="0.2">
      <c r="A75" s="2" t="s">
        <v>44</v>
      </c>
      <c r="B75" s="5" t="str">
        <f t="shared" si="1"/>
        <v>SRS024598</v>
      </c>
      <c r="C75" s="5" t="s">
        <v>80</v>
      </c>
      <c r="D75" s="5">
        <v>-6.8811406648073198E-2</v>
      </c>
      <c r="E75" s="5">
        <v>-0.17696947355545301</v>
      </c>
      <c r="F75" s="5">
        <v>-4.43519908518673E-3</v>
      </c>
      <c r="G75" s="5">
        <v>-4.92605531199517E-2</v>
      </c>
      <c r="H75" s="5">
        <v>0.93051279460809899</v>
      </c>
      <c r="I75" s="5">
        <v>-8.0001298182107106E-2</v>
      </c>
      <c r="J75" s="5">
        <v>9.1770163284753098E-2</v>
      </c>
      <c r="K75" s="5">
        <v>-9.2387613523226594E-2</v>
      </c>
      <c r="L75" s="5">
        <v>-0.30127625933563701</v>
      </c>
      <c r="M75" s="5">
        <v>0.35562927233398001</v>
      </c>
      <c r="N75" s="5">
        <v>0.29038750559557802</v>
      </c>
      <c r="O75" s="5">
        <v>0.67112466097938706</v>
      </c>
    </row>
    <row r="76" spans="1:15" x14ac:dyDescent="0.2">
      <c r="A76" s="2" t="s">
        <v>44</v>
      </c>
      <c r="B76" s="5" t="str">
        <f t="shared" si="1"/>
        <v>SRS024655</v>
      </c>
      <c r="C76" s="5" t="s">
        <v>81</v>
      </c>
      <c r="D76" s="5">
        <v>-0.19544263586990099</v>
      </c>
      <c r="E76" s="5">
        <v>-6.4514416740047695E-2</v>
      </c>
      <c r="F76" s="5">
        <v>-0.16293758818669801</v>
      </c>
      <c r="G76" s="5">
        <v>-0.35258355245837902</v>
      </c>
      <c r="H76" s="5"/>
      <c r="I76" s="5">
        <v>-4.4216653465694297E-2</v>
      </c>
      <c r="J76" s="5">
        <v>7.6381747089989405E-2</v>
      </c>
      <c r="K76" s="5">
        <v>-0.10639166547088599</v>
      </c>
      <c r="L76" s="5">
        <v>-0.29877898523708701</v>
      </c>
      <c r="M76" s="5">
        <v>0.18176981726911501</v>
      </c>
      <c r="N76" s="5">
        <v>0.27594749367589999</v>
      </c>
      <c r="O76" s="5">
        <v>0.65101828169199405</v>
      </c>
    </row>
    <row r="77" spans="1:15" x14ac:dyDescent="0.2">
      <c r="A77" s="2" t="s">
        <v>44</v>
      </c>
      <c r="B77" s="5" t="str">
        <f t="shared" si="1"/>
        <v>SRS044474</v>
      </c>
      <c r="C77" s="5" t="s">
        <v>82</v>
      </c>
      <c r="D77" s="5">
        <v>-2.3627223169474101E-2</v>
      </c>
      <c r="E77" s="5">
        <v>6.10107652560197E-2</v>
      </c>
      <c r="F77" s="5">
        <v>-0.19497026192660399</v>
      </c>
      <c r="G77" s="5">
        <v>-0.183920175683528</v>
      </c>
      <c r="H77" s="5">
        <v>0.21817763315385599</v>
      </c>
      <c r="I77" s="5">
        <v>-7.0015716423719496E-2</v>
      </c>
      <c r="J77" s="5">
        <v>0.11200863977766699</v>
      </c>
      <c r="K77" s="5">
        <v>-0.216908985897666</v>
      </c>
      <c r="L77" s="5">
        <v>-0.26907138866164299</v>
      </c>
      <c r="M77" s="5">
        <v>-7.2439226643803506E-2</v>
      </c>
      <c r="N77" s="5">
        <v>0.26054197892374498</v>
      </c>
      <c r="O77" s="5">
        <v>0.46419782876751298</v>
      </c>
    </row>
    <row r="78" spans="1:15" x14ac:dyDescent="0.2">
      <c r="A78" s="2" t="s">
        <v>44</v>
      </c>
      <c r="B78" s="5" t="str">
        <f t="shared" si="1"/>
        <v>SRS044626</v>
      </c>
      <c r="C78" s="5" t="s">
        <v>83</v>
      </c>
      <c r="D78" s="5">
        <v>1.3100361205843399E-2</v>
      </c>
      <c r="E78" s="5">
        <v>0.28750347573178497</v>
      </c>
      <c r="F78" s="5">
        <v>-0.196009518073954</v>
      </c>
      <c r="G78" s="5">
        <v>5.30148427090011E-2</v>
      </c>
      <c r="H78" s="5"/>
      <c r="I78" s="5">
        <v>0.44036776235118302</v>
      </c>
      <c r="J78" s="5">
        <v>0.110764160367169</v>
      </c>
      <c r="K78" s="5">
        <v>-0.13249353538903799</v>
      </c>
      <c r="L78" s="5">
        <v>-0.214452100338485</v>
      </c>
      <c r="M78" s="5">
        <v>3.3784764049728501E-2</v>
      </c>
      <c r="N78" s="5">
        <v>0.27271177749583803</v>
      </c>
      <c r="O78" s="5">
        <v>0.40146146867705501</v>
      </c>
    </row>
    <row r="79" spans="1:15" x14ac:dyDescent="0.2">
      <c r="A79" s="2" t="s">
        <v>44</v>
      </c>
      <c r="B79" s="5" t="str">
        <f t="shared" si="1"/>
        <v>SRS046344</v>
      </c>
      <c r="C79" s="5" t="s">
        <v>84</v>
      </c>
      <c r="D79" s="5">
        <v>2.8764737171788499E-2</v>
      </c>
      <c r="E79" s="5">
        <v>-5.83049468782584E-2</v>
      </c>
      <c r="F79" s="5">
        <v>9.1122426857815103E-2</v>
      </c>
      <c r="G79" s="5">
        <v>-0.80727055987307905</v>
      </c>
      <c r="H79" s="5"/>
      <c r="I79" s="5">
        <v>-0.32591023604229902</v>
      </c>
      <c r="J79" s="5">
        <v>7.2954334571253499E-2</v>
      </c>
      <c r="K79" s="5">
        <v>-0.171784132317923</v>
      </c>
      <c r="L79" s="5">
        <v>-0.192077898083133</v>
      </c>
      <c r="M79" s="5">
        <v>-9.2226035579248307E-3</v>
      </c>
      <c r="N79" s="5">
        <v>0.25958539196999098</v>
      </c>
      <c r="O79" s="5">
        <v>0.66801932967396505</v>
      </c>
    </row>
    <row r="80" spans="1:15" x14ac:dyDescent="0.2">
      <c r="A80" s="2" t="s">
        <v>44</v>
      </c>
      <c r="B80" s="5" t="str">
        <f t="shared" si="1"/>
        <v>SRS046973</v>
      </c>
      <c r="C80" s="5" t="s">
        <v>85</v>
      </c>
      <c r="D80" s="5">
        <v>-4.8950609864490797E-2</v>
      </c>
      <c r="E80" s="5">
        <v>-5.6716310729383003E-3</v>
      </c>
      <c r="F80" s="5">
        <v>0.25863840821595702</v>
      </c>
      <c r="G80" s="5">
        <v>0.106138981440199</v>
      </c>
      <c r="H80" s="5">
        <v>0.52949867102724202</v>
      </c>
      <c r="I80" s="5">
        <v>-3.0667572152296201E-2</v>
      </c>
      <c r="J80" s="5">
        <v>1.83222501284841E-2</v>
      </c>
      <c r="K80" s="5">
        <v>0.10309448649153299</v>
      </c>
      <c r="L80" s="5">
        <v>-0.19828906923035899</v>
      </c>
      <c r="M80" s="5">
        <v>0.18388759872039201</v>
      </c>
      <c r="N80" s="5">
        <v>0.40483971089030502</v>
      </c>
      <c r="O80" s="5">
        <v>-0.64698441295490094</v>
      </c>
    </row>
    <row r="81" spans="1:15" x14ac:dyDescent="0.2">
      <c r="A81" s="2" t="s">
        <v>44</v>
      </c>
      <c r="B81" s="5" t="str">
        <f t="shared" si="1"/>
        <v>SRS047225</v>
      </c>
      <c r="C81" s="5" t="s">
        <v>86</v>
      </c>
      <c r="D81" s="5">
        <v>-7.4131836488866898E-2</v>
      </c>
      <c r="E81" s="5">
        <v>0.53711705725085102</v>
      </c>
      <c r="F81" s="5">
        <v>-0.124568956237271</v>
      </c>
      <c r="G81" s="5">
        <v>4.3237413093746603E-3</v>
      </c>
      <c r="H81" s="5">
        <v>-0.14291757170927399</v>
      </c>
      <c r="I81" s="5">
        <v>0.13938829412758999</v>
      </c>
      <c r="J81" s="5">
        <v>9.0298340846722405E-2</v>
      </c>
      <c r="K81" s="5">
        <v>-0.18163535362493599</v>
      </c>
      <c r="L81" s="5">
        <v>-0.18052239355598099</v>
      </c>
      <c r="M81" s="5">
        <v>-8.8097850336447597E-2</v>
      </c>
      <c r="N81" s="5">
        <v>0.271663923625031</v>
      </c>
      <c r="O81" s="5">
        <v>0.57169591529308195</v>
      </c>
    </row>
    <row r="82" spans="1:15" x14ac:dyDescent="0.2">
      <c r="A82" s="2" t="s">
        <v>44</v>
      </c>
      <c r="B82" s="5" t="str">
        <f t="shared" si="1"/>
        <v>SRS047254</v>
      </c>
      <c r="C82" s="5" t="s">
        <v>87</v>
      </c>
      <c r="D82" s="5">
        <v>7.1456969190280495E-2</v>
      </c>
      <c r="E82" s="5">
        <v>-0.13757876169125099</v>
      </c>
      <c r="F82" s="5">
        <v>1.31327442473003E-2</v>
      </c>
      <c r="G82" s="5">
        <v>0.114983658801754</v>
      </c>
      <c r="H82" s="5">
        <v>-8.2912308250142105E-2</v>
      </c>
      <c r="I82" s="5">
        <v>0.15343444196992101</v>
      </c>
      <c r="J82" s="5">
        <v>0.11931415250732701</v>
      </c>
      <c r="K82" s="5">
        <v>-3.3157498518902699E-2</v>
      </c>
      <c r="L82" s="5">
        <v>-0.16759170447324701</v>
      </c>
      <c r="M82" s="5">
        <v>0.111443176580534</v>
      </c>
      <c r="N82" s="5">
        <v>0.33614961003676302</v>
      </c>
      <c r="O82" s="5">
        <v>0.475514582345125</v>
      </c>
    </row>
    <row r="83" spans="1:15" x14ac:dyDescent="0.2">
      <c r="A83" s="2" t="s">
        <v>44</v>
      </c>
      <c r="B83" s="5" t="str">
        <f t="shared" si="1"/>
        <v>SRS047844</v>
      </c>
      <c r="C83" s="5" t="s">
        <v>88</v>
      </c>
      <c r="D83" s="5">
        <v>-0.20824786632308401</v>
      </c>
      <c r="E83" s="5">
        <v>-0.13212846940688</v>
      </c>
      <c r="F83" s="5">
        <v>6.2292464181647403E-5</v>
      </c>
      <c r="G83" s="5">
        <v>0.76870119266616899</v>
      </c>
      <c r="H83" s="5"/>
      <c r="I83" s="5">
        <v>-3.1357110120057402E-2</v>
      </c>
      <c r="J83" s="5">
        <v>0.14711971920686601</v>
      </c>
      <c r="K83" s="5">
        <v>-0.21987611360113801</v>
      </c>
      <c r="L83" s="5">
        <v>-0.28410245724674998</v>
      </c>
      <c r="M83" s="5">
        <v>-7.3238668261484702E-2</v>
      </c>
      <c r="N83" s="5">
        <v>0.33575622744398698</v>
      </c>
      <c r="O83" s="5">
        <v>0.55364054728659995</v>
      </c>
    </row>
    <row r="84" spans="1:15" x14ac:dyDescent="0.2">
      <c r="A84" s="2" t="s">
        <v>44</v>
      </c>
      <c r="B84" s="5" t="str">
        <f t="shared" si="1"/>
        <v>SRS050025</v>
      </c>
      <c r="C84" s="5" t="s">
        <v>89</v>
      </c>
      <c r="D84" s="5">
        <v>8.3187141614391696E-2</v>
      </c>
      <c r="E84" s="5">
        <v>-0.1237553487524</v>
      </c>
      <c r="F84" s="5">
        <v>0.47117114732764598</v>
      </c>
      <c r="G84" s="5">
        <v>-2.32723336028136E-3</v>
      </c>
      <c r="H84" s="5">
        <v>-7.4573286948453402E-2</v>
      </c>
      <c r="I84" s="5">
        <v>-0.202213027087432</v>
      </c>
      <c r="J84" s="5">
        <v>3.8802992001351198E-2</v>
      </c>
      <c r="K84" s="5">
        <v>-0.132429928380841</v>
      </c>
      <c r="L84" s="5">
        <v>-0.26976096451437098</v>
      </c>
      <c r="M84" s="5">
        <v>-0.105582616153637</v>
      </c>
      <c r="N84" s="5">
        <v>0.32029251573915302</v>
      </c>
      <c r="O84" s="5">
        <v>9.9946035479986997E-3</v>
      </c>
    </row>
    <row r="85" spans="1:15" x14ac:dyDescent="0.2">
      <c r="A85" s="2" t="s">
        <v>44</v>
      </c>
      <c r="B85" s="5" t="str">
        <f t="shared" si="1"/>
        <v>SRS051600</v>
      </c>
      <c r="C85" s="5" t="s">
        <v>90</v>
      </c>
      <c r="D85" s="5">
        <v>7.7827576636063697E-2</v>
      </c>
      <c r="E85" s="5">
        <v>0.48640590885634299</v>
      </c>
      <c r="F85" s="5">
        <v>-0.203942084130567</v>
      </c>
      <c r="G85" s="5">
        <v>-0.33342840713086602</v>
      </c>
      <c r="H85" s="5"/>
      <c r="I85" s="5">
        <v>0.135313329442414</v>
      </c>
      <c r="J85" s="5">
        <v>-0.70195120709435799</v>
      </c>
      <c r="K85" s="5">
        <v>-0.10124523617822</v>
      </c>
      <c r="L85" s="5">
        <v>-6.4412394681821597E-2</v>
      </c>
      <c r="M85" s="5">
        <v>0.30885393710250802</v>
      </c>
      <c r="N85" s="5">
        <v>0.25958539196999098</v>
      </c>
      <c r="O85" s="5">
        <v>0.78035488863331104</v>
      </c>
    </row>
    <row r="86" spans="1:15" x14ac:dyDescent="0.2">
      <c r="A86" s="2" t="s">
        <v>44</v>
      </c>
      <c r="B86" s="5" t="str">
        <f t="shared" si="1"/>
        <v>SRS054061</v>
      </c>
      <c r="C86" s="5" t="s">
        <v>91</v>
      </c>
      <c r="D86" s="5">
        <v>-4.8595659524194599E-3</v>
      </c>
      <c r="E86" s="5">
        <v>-4.9694327864320299E-2</v>
      </c>
      <c r="F86" s="5">
        <v>0.37014174230607</v>
      </c>
      <c r="G86" s="5">
        <v>-6.0428340208235898E-2</v>
      </c>
      <c r="H86" s="5"/>
      <c r="I86" s="5">
        <v>-3.3356888563307402E-2</v>
      </c>
      <c r="J86" s="5">
        <v>0.108802141806915</v>
      </c>
      <c r="K86" s="5">
        <v>-0.15179858907617999</v>
      </c>
      <c r="L86" s="5">
        <v>-0.13610033533950899</v>
      </c>
      <c r="M86" s="5">
        <v>-9.0594331922450602E-2</v>
      </c>
      <c r="N86" s="5">
        <v>0.27729239304212999</v>
      </c>
      <c r="O86" s="5">
        <v>0.74020386193307997</v>
      </c>
    </row>
    <row r="87" spans="1:15" x14ac:dyDescent="0.2">
      <c r="A87" s="2" t="s">
        <v>44</v>
      </c>
      <c r="B87" s="5" t="str">
        <f t="shared" si="1"/>
        <v>SRS058213</v>
      </c>
      <c r="C87" s="5" t="s">
        <v>92</v>
      </c>
      <c r="D87" s="5">
        <v>0.102959752536424</v>
      </c>
      <c r="E87" s="5">
        <v>2.3091359408592499E-2</v>
      </c>
      <c r="F87" s="5">
        <v>0.32732005826098998</v>
      </c>
      <c r="G87" s="5">
        <v>-0.16549192551789901</v>
      </c>
      <c r="H87" s="5">
        <v>-0.25235014203440098</v>
      </c>
      <c r="I87" s="5">
        <v>-0.34626668589853499</v>
      </c>
      <c r="J87" s="5">
        <v>9.0044893896255696E-2</v>
      </c>
      <c r="K87" s="5">
        <v>-0.17546337061137901</v>
      </c>
      <c r="L87" s="5">
        <v>-0.12625772264878601</v>
      </c>
      <c r="M87" s="5">
        <v>-9.3122497032602905E-2</v>
      </c>
      <c r="N87" s="5">
        <v>0.27421846483446699</v>
      </c>
      <c r="O87" s="5">
        <v>0.61253276034815696</v>
      </c>
    </row>
    <row r="88" spans="1:15" x14ac:dyDescent="0.2">
      <c r="A88" s="2" t="s">
        <v>44</v>
      </c>
      <c r="B88" s="5" t="str">
        <f t="shared" si="1"/>
        <v>SRS063178</v>
      </c>
      <c r="C88" s="5" t="s">
        <v>93</v>
      </c>
      <c r="D88" s="5">
        <v>-5.48889042793754E-2</v>
      </c>
      <c r="E88" s="5">
        <v>-5.23226669423347E-2</v>
      </c>
      <c r="F88" s="5">
        <v>-0.26625703121582001</v>
      </c>
      <c r="G88" s="5">
        <v>0.17895821916434301</v>
      </c>
      <c r="H88" s="5"/>
      <c r="I88" s="5">
        <v>0.12695453530558401</v>
      </c>
      <c r="J88" s="5">
        <v>0.14997141426483701</v>
      </c>
      <c r="K88" s="5">
        <v>-0.228626024515478</v>
      </c>
      <c r="L88" s="5">
        <v>-0.30951763339912203</v>
      </c>
      <c r="M88" s="5">
        <v>-7.6027706352116198E-2</v>
      </c>
      <c r="N88" s="5">
        <v>0.25958539196999098</v>
      </c>
      <c r="O88" s="5">
        <v>0.47630285311845999</v>
      </c>
    </row>
    <row r="89" spans="1:15" x14ac:dyDescent="0.2">
      <c r="A89" s="2" t="s">
        <v>44</v>
      </c>
      <c r="B89" s="5" t="str">
        <f t="shared" si="1"/>
        <v>SRS065142</v>
      </c>
      <c r="C89" s="5" t="s">
        <v>94</v>
      </c>
      <c r="D89" s="5">
        <v>-0.16458085356612201</v>
      </c>
      <c r="E89" s="5">
        <v>7.8823851722441496E-2</v>
      </c>
      <c r="F89" s="5">
        <v>-0.213412922520377</v>
      </c>
      <c r="G89" s="5">
        <v>-6.16684347212954E-2</v>
      </c>
      <c r="H89" s="5"/>
      <c r="I89" s="5">
        <v>0.190973752455701</v>
      </c>
      <c r="J89" s="5">
        <v>8.1647005425331307E-2</v>
      </c>
      <c r="K89" s="5">
        <v>-0.163285458436084</v>
      </c>
      <c r="L89" s="5">
        <v>-0.14460956814312301</v>
      </c>
      <c r="M89" s="5">
        <v>-5.6978530910895803E-2</v>
      </c>
      <c r="N89" s="5">
        <v>0.25958539196999098</v>
      </c>
      <c r="O89" s="5">
        <v>-0.42715860556187202</v>
      </c>
    </row>
    <row r="90" spans="1:15" x14ac:dyDescent="0.2">
      <c r="A90" s="3" t="s">
        <v>95</v>
      </c>
      <c r="B90" s="5" t="str">
        <f t="shared" ref="B90:B128" si="2">RIGHT(C90,9)</f>
        <v>SRS013521</v>
      </c>
      <c r="C90" s="5" t="s">
        <v>96</v>
      </c>
      <c r="D90" s="5">
        <v>0.168203022369322</v>
      </c>
      <c r="E90" s="5">
        <v>-1.9004841022216799E-2</v>
      </c>
      <c r="F90" s="5">
        <v>6.0188470140148699E-2</v>
      </c>
      <c r="G90" s="5">
        <v>0.48462830561800901</v>
      </c>
      <c r="H90" s="5">
        <v>8.5781558456582294E-2</v>
      </c>
      <c r="I90" s="5">
        <v>-0.11824620676783699</v>
      </c>
      <c r="J90" s="5">
        <v>-0.43170754763520203</v>
      </c>
      <c r="K90" s="5">
        <v>5.2923205669394603E-2</v>
      </c>
      <c r="L90" s="5">
        <v>0.186375904306229</v>
      </c>
      <c r="M90" s="5">
        <v>0.264465225363259</v>
      </c>
      <c r="N90" s="5">
        <v>-0.49448735647381997</v>
      </c>
      <c r="O90" s="5">
        <v>0.73651012124367399</v>
      </c>
    </row>
    <row r="91" spans="1:15" x14ac:dyDescent="0.2">
      <c r="A91" s="3" t="s">
        <v>95</v>
      </c>
      <c r="B91" s="5" t="str">
        <f t="shared" si="2"/>
        <v>SRS015190</v>
      </c>
      <c r="C91" s="5" t="s">
        <v>97</v>
      </c>
      <c r="D91" s="5">
        <v>0.110962261506174</v>
      </c>
      <c r="E91" s="5">
        <v>1.7202447439678699E-2</v>
      </c>
      <c r="F91" s="5">
        <v>-0.18052678624146401</v>
      </c>
      <c r="G91" s="5">
        <v>-0.35886022011338398</v>
      </c>
      <c r="H91" s="5"/>
      <c r="I91" s="5">
        <v>-0.324032890064196</v>
      </c>
      <c r="J91" s="5">
        <v>-0.307515503005103</v>
      </c>
      <c r="K91" s="5">
        <v>0.11078928245776699</v>
      </c>
      <c r="L91" s="5">
        <v>0.225196460045616</v>
      </c>
      <c r="M91" s="5">
        <v>0.219406552797238</v>
      </c>
      <c r="N91" s="5">
        <v>0.471059466314318</v>
      </c>
      <c r="O91" s="5">
        <v>0.70916981820574698</v>
      </c>
    </row>
    <row r="92" spans="1:15" x14ac:dyDescent="0.2">
      <c r="A92" s="3" t="s">
        <v>95</v>
      </c>
      <c r="B92" s="5" t="str">
        <f t="shared" si="2"/>
        <v>SRS015369</v>
      </c>
      <c r="C92" s="5" t="s">
        <v>98</v>
      </c>
      <c r="D92" s="5">
        <v>-6.6506988006472395E-2</v>
      </c>
      <c r="E92" s="5">
        <v>0.31063933457460602</v>
      </c>
      <c r="F92" s="5">
        <v>-0.21642728931315799</v>
      </c>
      <c r="G92" s="5">
        <v>-0.40834326543738803</v>
      </c>
      <c r="H92" s="5">
        <v>0.64998277079493405</v>
      </c>
      <c r="I92" s="5">
        <v>-0.25212976548043098</v>
      </c>
      <c r="J92" s="5">
        <v>-9.1209074409555294E-2</v>
      </c>
      <c r="K92" s="5">
        <v>9.0450393106776203E-2</v>
      </c>
      <c r="L92" s="5">
        <v>0.157225984058222</v>
      </c>
      <c r="M92" s="5">
        <v>0.24221033663084701</v>
      </c>
      <c r="N92" s="5">
        <v>0.454756116970362</v>
      </c>
      <c r="O92" s="5">
        <v>0.73478150819153698</v>
      </c>
    </row>
    <row r="93" spans="1:15" x14ac:dyDescent="0.2">
      <c r="A93" s="3" t="s">
        <v>95</v>
      </c>
      <c r="B93" s="5" t="str">
        <f t="shared" si="2"/>
        <v>SRS015794</v>
      </c>
      <c r="C93" s="5" t="s">
        <v>99</v>
      </c>
      <c r="D93" s="5">
        <v>-3.2153056812386803E-2</v>
      </c>
      <c r="E93" s="5">
        <v>-7.1111584060035996E-2</v>
      </c>
      <c r="F93" s="5">
        <v>-7.6016934527889296E-2</v>
      </c>
      <c r="G93" s="5">
        <v>0.33013104147412098</v>
      </c>
      <c r="H93" s="5">
        <v>6.8569016075955794E-2</v>
      </c>
      <c r="I93" s="5">
        <v>-0.314833418173255</v>
      </c>
      <c r="J93" s="5">
        <v>-9.4782451997457107E-2</v>
      </c>
      <c r="K93" s="5">
        <v>0.142889467500878</v>
      </c>
      <c r="L93" s="5">
        <v>0.30473819515810102</v>
      </c>
      <c r="M93" s="5">
        <v>0.119688502848564</v>
      </c>
      <c r="N93" s="5">
        <v>-0.49249616612133701</v>
      </c>
      <c r="O93" s="5">
        <v>0.69966327001915496</v>
      </c>
    </row>
    <row r="94" spans="1:15" x14ac:dyDescent="0.2">
      <c r="A94" s="3" t="s">
        <v>95</v>
      </c>
      <c r="B94" s="5" t="str">
        <f t="shared" si="2"/>
        <v>SRS015854</v>
      </c>
      <c r="C94" s="5" t="s">
        <v>100</v>
      </c>
      <c r="D94" s="5">
        <v>7.4262566423466403E-3</v>
      </c>
      <c r="E94" s="5">
        <v>0.41501876009898597</v>
      </c>
      <c r="F94" s="5">
        <v>-6.02609933875288E-2</v>
      </c>
      <c r="G94" s="5">
        <v>0.61220317172584404</v>
      </c>
      <c r="H94" s="5">
        <v>6.9538943114634696E-2</v>
      </c>
      <c r="I94" s="5">
        <v>-0.15351413626678101</v>
      </c>
      <c r="J94" s="5">
        <v>-5.8699050779234298E-2</v>
      </c>
      <c r="K94" s="5">
        <v>0.129467416093343</v>
      </c>
      <c r="L94" s="5">
        <v>0.22842705858212201</v>
      </c>
      <c r="M94" s="5">
        <v>0.229896502446159</v>
      </c>
      <c r="N94" s="5">
        <v>-8.6770027656718304E-2</v>
      </c>
      <c r="O94" s="5">
        <v>0.60891039165641703</v>
      </c>
    </row>
    <row r="95" spans="1:15" x14ac:dyDescent="0.2">
      <c r="A95" s="3" t="s">
        <v>95</v>
      </c>
      <c r="B95" s="5" t="str">
        <f t="shared" si="2"/>
        <v>SRS016203</v>
      </c>
      <c r="C95" s="5" t="s">
        <v>101</v>
      </c>
      <c r="D95" s="5">
        <v>3.9837619804577999E-2</v>
      </c>
      <c r="E95" s="5">
        <v>-7.6234440225692104E-2</v>
      </c>
      <c r="F95" s="5">
        <v>5.9766397098181497E-2</v>
      </c>
      <c r="G95" s="5">
        <v>-0.307509620594628</v>
      </c>
      <c r="H95" s="5">
        <v>0.98283059072263401</v>
      </c>
      <c r="I95" s="5">
        <v>-0.30584413051401999</v>
      </c>
      <c r="J95" s="5">
        <v>8.9939060273409796E-3</v>
      </c>
      <c r="K95" s="5">
        <v>0.13145242364837201</v>
      </c>
      <c r="L95" s="5">
        <v>0.26091523045149301</v>
      </c>
      <c r="M95" s="5">
        <v>0.199165188291827</v>
      </c>
      <c r="N95" s="5">
        <v>0.415923331496587</v>
      </c>
      <c r="O95" s="5">
        <v>0.61648704845832603</v>
      </c>
    </row>
    <row r="96" spans="1:15" x14ac:dyDescent="0.2">
      <c r="A96" s="3" t="s">
        <v>95</v>
      </c>
      <c r="B96" s="5" t="str">
        <f t="shared" si="2"/>
        <v>SRS016267</v>
      </c>
      <c r="C96" s="5" t="s">
        <v>102</v>
      </c>
      <c r="D96" s="5">
        <v>-2.8044703121175001E-2</v>
      </c>
      <c r="E96" s="5">
        <v>5.3699967871563503E-2</v>
      </c>
      <c r="F96" s="5">
        <v>-0.21714629547592201</v>
      </c>
      <c r="G96" s="5">
        <v>-0.13156057702961901</v>
      </c>
      <c r="H96" s="5">
        <v>0.53059124167721305</v>
      </c>
      <c r="I96" s="5">
        <v>-0.21163078995689</v>
      </c>
      <c r="J96" s="5">
        <v>0.16994384799198201</v>
      </c>
      <c r="K96" s="5">
        <v>8.8862040023789293E-2</v>
      </c>
      <c r="L96" s="5">
        <v>0.13539689135718699</v>
      </c>
      <c r="M96" s="5">
        <v>0.21757589146079401</v>
      </c>
      <c r="N96" s="5">
        <v>0.47258700767150402</v>
      </c>
      <c r="O96" s="5">
        <v>0.69249037838949601</v>
      </c>
    </row>
    <row r="97" spans="1:15" x14ac:dyDescent="0.2">
      <c r="A97" s="3" t="s">
        <v>95</v>
      </c>
      <c r="B97" s="5" t="str">
        <f t="shared" si="2"/>
        <v>SRS016585</v>
      </c>
      <c r="C97" s="5" t="s">
        <v>103</v>
      </c>
      <c r="D97" s="5">
        <v>6.11322451935166E-2</v>
      </c>
      <c r="E97" s="5">
        <v>-2.88634937043191E-2</v>
      </c>
      <c r="F97" s="5">
        <v>8.0175288423819602E-2</v>
      </c>
      <c r="G97" s="5">
        <v>0.69309433551798305</v>
      </c>
      <c r="H97" s="5">
        <v>0.67570396161842305</v>
      </c>
      <c r="I97" s="5">
        <v>-0.195472990810896</v>
      </c>
      <c r="J97" s="5">
        <v>-0.24048855392687901</v>
      </c>
      <c r="K97" s="5">
        <v>-0.32469503383593801</v>
      </c>
      <c r="L97" s="5">
        <v>3.9180557046637102E-2</v>
      </c>
      <c r="M97" s="5">
        <v>0.12818906874357899</v>
      </c>
      <c r="N97" s="5">
        <v>0.53738922873247197</v>
      </c>
      <c r="O97" s="5">
        <v>-0.68144801315835102</v>
      </c>
    </row>
    <row r="98" spans="1:15" x14ac:dyDescent="0.2">
      <c r="A98" s="3" t="s">
        <v>95</v>
      </c>
      <c r="B98" s="5" t="str">
        <f t="shared" si="2"/>
        <v>SRS016753</v>
      </c>
      <c r="C98" s="5" t="s">
        <v>104</v>
      </c>
      <c r="D98" s="5">
        <v>-0.147295266256041</v>
      </c>
      <c r="E98" s="5">
        <v>0.18911304860908701</v>
      </c>
      <c r="F98" s="5">
        <v>0.31757441204627201</v>
      </c>
      <c r="G98" s="5">
        <v>0.64706051963490996</v>
      </c>
      <c r="H98" s="5">
        <v>-0.29311238174801701</v>
      </c>
      <c r="I98" s="5">
        <v>-7.7278551564829906E-2</v>
      </c>
      <c r="J98" s="5">
        <v>-0.29971830244563702</v>
      </c>
      <c r="K98" s="5">
        <v>0.119559538530152</v>
      </c>
      <c r="L98" s="5">
        <v>0.20641401555313599</v>
      </c>
      <c r="M98" s="5">
        <v>0.235773972372223</v>
      </c>
      <c r="N98" s="5">
        <v>0.19889369600245099</v>
      </c>
      <c r="O98" s="5">
        <v>0.72226077194788996</v>
      </c>
    </row>
    <row r="99" spans="1:15" x14ac:dyDescent="0.2">
      <c r="A99" s="3" t="s">
        <v>95</v>
      </c>
      <c r="B99" s="5" t="str">
        <f t="shared" si="2"/>
        <v>SRS016989</v>
      </c>
      <c r="C99" s="5" t="s">
        <v>105</v>
      </c>
      <c r="D99" s="5">
        <v>2.1944194292262301E-2</v>
      </c>
      <c r="E99" s="5">
        <v>4.4487797284069E-2</v>
      </c>
      <c r="F99" s="5">
        <v>6.0887494434429403E-2</v>
      </c>
      <c r="G99" s="5">
        <v>0.47857731908915802</v>
      </c>
      <c r="H99" s="5">
        <v>-0.33648378308903798</v>
      </c>
      <c r="I99" s="5">
        <v>-1.56202174064837E-2</v>
      </c>
      <c r="J99" s="5">
        <v>-0.27018777533205801</v>
      </c>
      <c r="K99" s="5">
        <v>0.121864989831914</v>
      </c>
      <c r="L99" s="5">
        <v>0.21861219273347601</v>
      </c>
      <c r="M99" s="5">
        <v>0.23016232551554999</v>
      </c>
      <c r="N99" s="5">
        <v>0.30494959755240297</v>
      </c>
      <c r="O99" s="5">
        <v>0.70003368490273699</v>
      </c>
    </row>
    <row r="100" spans="1:15" x14ac:dyDescent="0.2">
      <c r="A100" s="3" t="s">
        <v>95</v>
      </c>
      <c r="B100" s="5" t="str">
        <f t="shared" si="2"/>
        <v>SRS017103</v>
      </c>
      <c r="C100" s="5" t="s">
        <v>106</v>
      </c>
      <c r="D100" s="5">
        <v>0.117738648067908</v>
      </c>
      <c r="E100" s="5">
        <v>2.0616686113786999E-2</v>
      </c>
      <c r="F100" s="5">
        <v>0.100301007968244</v>
      </c>
      <c r="G100" s="5">
        <v>0.60295936074896594</v>
      </c>
      <c r="H100" s="5">
        <v>-0.107459128824009</v>
      </c>
      <c r="I100" s="5">
        <v>-0.17828999867029399</v>
      </c>
      <c r="J100" s="5">
        <v>-5.6942881083766501E-2</v>
      </c>
      <c r="K100" s="5">
        <v>0.15001990423466599</v>
      </c>
      <c r="L100" s="5">
        <v>0.27330297537556603</v>
      </c>
      <c r="M100" s="5">
        <v>0.20171993458436099</v>
      </c>
      <c r="N100" s="5">
        <v>0.13385768999938499</v>
      </c>
      <c r="O100" s="5">
        <v>0.69257091812823002</v>
      </c>
    </row>
    <row r="101" spans="1:15" x14ac:dyDescent="0.2">
      <c r="A101" s="3" t="s">
        <v>95</v>
      </c>
      <c r="B101" s="5" t="str">
        <f t="shared" si="2"/>
        <v>SRS017821</v>
      </c>
      <c r="C101" s="5" t="s">
        <v>107</v>
      </c>
      <c r="D101" s="5">
        <v>-8.8383883208759395E-2</v>
      </c>
      <c r="E101" s="5">
        <v>0.14770756648817901</v>
      </c>
      <c r="F101" s="5">
        <v>0.139315289398563</v>
      </c>
      <c r="G101" s="5">
        <v>0.670166401472165</v>
      </c>
      <c r="H101" s="5">
        <v>-0.21798916750946101</v>
      </c>
      <c r="I101" s="5">
        <v>0.42174870361600603</v>
      </c>
      <c r="J101" s="5">
        <v>-9.8585826837044102E-2</v>
      </c>
      <c r="K101" s="5">
        <v>0.164162391426319</v>
      </c>
      <c r="L101" s="5">
        <v>0.272842543504144</v>
      </c>
      <c r="M101" s="5">
        <v>0.19292450562812899</v>
      </c>
      <c r="N101" s="5">
        <v>0.149358815597293</v>
      </c>
      <c r="O101" s="5">
        <v>0.72192432846883103</v>
      </c>
    </row>
    <row r="102" spans="1:15" x14ac:dyDescent="0.2">
      <c r="A102" s="3" t="s">
        <v>95</v>
      </c>
      <c r="B102" s="5" t="str">
        <f t="shared" si="2"/>
        <v>SRS018817</v>
      </c>
      <c r="C102" s="5" t="s">
        <v>108</v>
      </c>
      <c r="D102" s="5">
        <v>9.1537590971787694E-3</v>
      </c>
      <c r="E102" s="5">
        <v>-8.0945477382063896E-2</v>
      </c>
      <c r="F102" s="5">
        <v>-1.0369532745514E-2</v>
      </c>
      <c r="G102" s="5">
        <v>0.66112842043177</v>
      </c>
      <c r="H102" s="5">
        <v>3.6420297242608299E-2</v>
      </c>
      <c r="I102" s="5">
        <v>-0.285599359573383</v>
      </c>
      <c r="J102" s="5">
        <v>0.126962001044129</v>
      </c>
      <c r="K102" s="5">
        <v>0.16406007852990301</v>
      </c>
      <c r="L102" s="5">
        <v>0.240546981255543</v>
      </c>
      <c r="M102" s="5">
        <v>0.190444659021337</v>
      </c>
      <c r="N102" s="5">
        <v>0.39832247690184602</v>
      </c>
      <c r="O102" s="5">
        <v>0.71813160781968499</v>
      </c>
    </row>
    <row r="103" spans="1:15" x14ac:dyDescent="0.2">
      <c r="A103" s="3" t="s">
        <v>95</v>
      </c>
      <c r="B103" s="5" t="str">
        <f t="shared" si="2"/>
        <v>SRS019161</v>
      </c>
      <c r="C103" s="5" t="s">
        <v>109</v>
      </c>
      <c r="D103" s="5">
        <v>-0.11835453935883899</v>
      </c>
      <c r="E103" s="5">
        <v>5.4616492339211599E-2</v>
      </c>
      <c r="F103" s="5">
        <v>-0.151852681802503</v>
      </c>
      <c r="G103" s="5">
        <v>0.56687349578018098</v>
      </c>
      <c r="H103" s="5">
        <v>0.80465090001446504</v>
      </c>
      <c r="I103" s="5">
        <v>-5.5456115955287398E-2</v>
      </c>
      <c r="J103" s="5">
        <v>-5.4777372699359901E-2</v>
      </c>
      <c r="K103" s="5">
        <v>0.15521565697851</v>
      </c>
      <c r="L103" s="5">
        <v>0.26580490727408501</v>
      </c>
      <c r="M103" s="5">
        <v>0.19207049728514899</v>
      </c>
      <c r="N103" s="5">
        <v>0.37055900498195499</v>
      </c>
      <c r="O103" s="5">
        <v>0.65157475907680096</v>
      </c>
    </row>
    <row r="104" spans="1:15" x14ac:dyDescent="0.2">
      <c r="A104" s="3" t="s">
        <v>95</v>
      </c>
      <c r="B104" s="5" t="str">
        <f t="shared" si="2"/>
        <v>SRS019267</v>
      </c>
      <c r="C104" s="5" t="s">
        <v>110</v>
      </c>
      <c r="D104" s="5">
        <v>-9.0898146718391595E-2</v>
      </c>
      <c r="E104" s="5">
        <v>0.14574017770835301</v>
      </c>
      <c r="F104" s="5">
        <v>0.36999167562315499</v>
      </c>
      <c r="G104" s="5">
        <v>0.242909586097279</v>
      </c>
      <c r="H104" s="5">
        <v>0.91659028674464504</v>
      </c>
      <c r="I104" s="5">
        <v>-0.21568411706592</v>
      </c>
      <c r="J104" s="5">
        <v>-0.115065058800078</v>
      </c>
      <c r="K104" s="5">
        <v>7.5318057827767404E-2</v>
      </c>
      <c r="L104" s="5">
        <v>0.13915431944850901</v>
      </c>
      <c r="M104" s="5">
        <v>0.242821025482095</v>
      </c>
      <c r="N104" s="5">
        <v>0.46860564135322502</v>
      </c>
      <c r="O104" s="5">
        <v>0.707481195332197</v>
      </c>
    </row>
    <row r="105" spans="1:15" x14ac:dyDescent="0.2">
      <c r="A105" s="3" t="s">
        <v>95</v>
      </c>
      <c r="B105" s="5" t="str">
        <f t="shared" si="2"/>
        <v>SRS019910</v>
      </c>
      <c r="C105" s="5" t="s">
        <v>111</v>
      </c>
      <c r="D105" s="5">
        <v>2.6610724582425201E-2</v>
      </c>
      <c r="E105" s="5">
        <v>-2.0683087883735001E-2</v>
      </c>
      <c r="F105" s="5">
        <v>-0.106626254783504</v>
      </c>
      <c r="G105" s="5">
        <v>0.51630209285631201</v>
      </c>
      <c r="H105" s="5">
        <v>0.84299199355620702</v>
      </c>
      <c r="I105" s="5">
        <v>-0.16033106372895001</v>
      </c>
      <c r="J105" s="5">
        <v>-0.18358197317152999</v>
      </c>
      <c r="K105" s="5">
        <v>0.13946351011267299</v>
      </c>
      <c r="L105" s="5">
        <v>0.26841925273123002</v>
      </c>
      <c r="M105" s="5">
        <v>0.22728653163271501</v>
      </c>
      <c r="N105" s="5">
        <v>-0.45026511616454501</v>
      </c>
      <c r="O105" s="5">
        <v>0.68148618010169604</v>
      </c>
    </row>
    <row r="106" spans="1:15" x14ac:dyDescent="0.2">
      <c r="A106" s="3" t="s">
        <v>95</v>
      </c>
      <c r="B106" s="5" t="str">
        <f t="shared" si="2"/>
        <v>SRS020233</v>
      </c>
      <c r="C106" s="5" t="s">
        <v>112</v>
      </c>
      <c r="D106" s="5">
        <v>-1.5761636298895099E-2</v>
      </c>
      <c r="E106" s="5">
        <v>-6.5400284417854301E-3</v>
      </c>
      <c r="F106" s="5">
        <v>-1.14018497593633E-3</v>
      </c>
      <c r="G106" s="5">
        <v>-0.48010308100122601</v>
      </c>
      <c r="H106" s="5">
        <v>0.41313234944633698</v>
      </c>
      <c r="I106" s="5">
        <v>-6.8382291577360296E-2</v>
      </c>
      <c r="J106" s="5">
        <v>-0.201445985283145</v>
      </c>
      <c r="K106" s="5">
        <v>0.1293760198992</v>
      </c>
      <c r="L106" s="5">
        <v>0.24560297966959599</v>
      </c>
      <c r="M106" s="5">
        <v>0.21167881441794301</v>
      </c>
      <c r="N106" s="5">
        <v>0.4539242288641</v>
      </c>
      <c r="O106" s="5">
        <v>0.71080489536081604</v>
      </c>
    </row>
    <row r="107" spans="1:15" x14ac:dyDescent="0.2">
      <c r="A107" s="3" t="s">
        <v>95</v>
      </c>
      <c r="B107" s="5" t="str">
        <f t="shared" si="2"/>
        <v>SRS021484</v>
      </c>
      <c r="C107" s="5" t="s">
        <v>113</v>
      </c>
      <c r="D107" s="5">
        <v>-7.3898580942345707E-2</v>
      </c>
      <c r="E107" s="5">
        <v>0.56188014105078898</v>
      </c>
      <c r="F107" s="5">
        <v>-5.3152326313851798E-2</v>
      </c>
      <c r="G107" s="5">
        <v>-0.13764661593966501</v>
      </c>
      <c r="H107" s="5">
        <v>0.34767732407503699</v>
      </c>
      <c r="I107" s="5">
        <v>-0.242475606523711</v>
      </c>
      <c r="J107" s="5">
        <v>-0.186204424637231</v>
      </c>
      <c r="K107" s="5">
        <v>4.2159269612429003E-2</v>
      </c>
      <c r="L107" s="5">
        <v>0.236312462458902</v>
      </c>
      <c r="M107" s="5">
        <v>0.20740710033759699</v>
      </c>
      <c r="N107" s="5">
        <v>0.38129010005366498</v>
      </c>
      <c r="O107" s="5">
        <v>0.65716401599267005</v>
      </c>
    </row>
    <row r="108" spans="1:15" x14ac:dyDescent="0.2">
      <c r="A108" s="3" t="s">
        <v>95</v>
      </c>
      <c r="B108" s="5" t="str">
        <f t="shared" si="2"/>
        <v>SRS022137</v>
      </c>
      <c r="C108" s="5" t="s">
        <v>114</v>
      </c>
      <c r="D108" s="5">
        <v>-3.99552942226701E-2</v>
      </c>
      <c r="E108" s="5">
        <v>-2.12152775916849E-3</v>
      </c>
      <c r="F108" s="5">
        <v>-2.1347789368632202E-3</v>
      </c>
      <c r="G108" s="5">
        <v>0.45361408629229</v>
      </c>
      <c r="H108" s="5">
        <v>0.111411262154559</v>
      </c>
      <c r="I108" s="5">
        <v>-0.21896847026524999</v>
      </c>
      <c r="J108" s="5">
        <v>-0.12673673648897901</v>
      </c>
      <c r="K108" s="5">
        <v>0.14415558965394401</v>
      </c>
      <c r="L108" s="5">
        <v>0.23990579303304899</v>
      </c>
      <c r="M108" s="5">
        <v>0.204533514713306</v>
      </c>
      <c r="N108" s="5">
        <v>0.24931493347039099</v>
      </c>
      <c r="O108" s="5">
        <v>0.68780265108553496</v>
      </c>
    </row>
    <row r="109" spans="1:15" x14ac:dyDescent="0.2">
      <c r="A109" s="3" t="s">
        <v>95</v>
      </c>
      <c r="B109" s="5" t="str">
        <f t="shared" si="2"/>
        <v>SRS022609</v>
      </c>
      <c r="C109" s="5" t="s">
        <v>115</v>
      </c>
      <c r="D109" s="5">
        <v>-4.6681170327145E-2</v>
      </c>
      <c r="E109" s="5">
        <v>-6.6771985083042704E-2</v>
      </c>
      <c r="F109" s="5">
        <v>-0.10706436309236</v>
      </c>
      <c r="G109" s="5">
        <v>0.73282652923893798</v>
      </c>
      <c r="H109" s="5">
        <v>-8.2402563961780098E-2</v>
      </c>
      <c r="I109" s="5">
        <v>-0.15114291764429</v>
      </c>
      <c r="J109" s="5">
        <v>-0.282914497883758</v>
      </c>
      <c r="K109" s="5">
        <v>9.8335729809726102E-2</v>
      </c>
      <c r="L109" s="5">
        <v>0.25940790251684598</v>
      </c>
      <c r="M109" s="5">
        <v>0.234318998092652</v>
      </c>
      <c r="N109" s="5">
        <v>-0.49071057464272699</v>
      </c>
      <c r="O109" s="5">
        <v>0.73480197551010296</v>
      </c>
    </row>
    <row r="110" spans="1:15" x14ac:dyDescent="0.2">
      <c r="A110" s="3" t="s">
        <v>95</v>
      </c>
      <c r="B110" s="5" t="str">
        <f t="shared" si="2"/>
        <v>SRS024388</v>
      </c>
      <c r="C110" s="5" t="s">
        <v>116</v>
      </c>
      <c r="D110" s="5">
        <v>5.1888813838273699E-2</v>
      </c>
      <c r="E110" s="5">
        <v>0.110575659582712</v>
      </c>
      <c r="F110" s="5">
        <v>-9.7070580548113905E-2</v>
      </c>
      <c r="G110" s="5">
        <v>-4.0538617448138803E-2</v>
      </c>
      <c r="H110" s="5"/>
      <c r="I110" s="5">
        <v>-0.40425048577306499</v>
      </c>
      <c r="J110" s="5">
        <v>7.3931980492606394E-2</v>
      </c>
      <c r="K110" s="5">
        <v>9.7437884857997994E-2</v>
      </c>
      <c r="L110" s="5">
        <v>0.17179664878355499</v>
      </c>
      <c r="M110" s="5">
        <v>0.22421629320435299</v>
      </c>
      <c r="N110" s="5">
        <v>0.49245407165923</v>
      </c>
      <c r="O110" s="5">
        <v>0.726000517420757</v>
      </c>
    </row>
    <row r="111" spans="1:15" x14ac:dyDescent="0.2">
      <c r="A111" s="3" t="s">
        <v>95</v>
      </c>
      <c r="B111" s="5" t="str">
        <f t="shared" si="2"/>
        <v>SRS024435</v>
      </c>
      <c r="C111" s="5" t="s">
        <v>117</v>
      </c>
      <c r="D111" s="5">
        <v>0.27848199324760697</v>
      </c>
      <c r="E111" s="5">
        <v>-9.5293379293533806E-2</v>
      </c>
      <c r="F111" s="5">
        <v>-0.177009782200754</v>
      </c>
      <c r="G111" s="5">
        <v>0.410982364026592</v>
      </c>
      <c r="H111" s="5">
        <v>3.6928006966270903E-2</v>
      </c>
      <c r="I111" s="5">
        <v>-0.16599881727051999</v>
      </c>
      <c r="J111" s="5">
        <v>-0.13596224157665901</v>
      </c>
      <c r="K111" s="5">
        <v>0.13890498972614801</v>
      </c>
      <c r="L111" s="5">
        <v>0.24132127716507501</v>
      </c>
      <c r="M111" s="5">
        <v>0.21165356269765401</v>
      </c>
      <c r="N111" s="5">
        <v>0.45732976470933301</v>
      </c>
      <c r="O111" s="5">
        <v>0.71587406312169799</v>
      </c>
    </row>
    <row r="112" spans="1:15" x14ac:dyDescent="0.2">
      <c r="A112" s="3" t="s">
        <v>95</v>
      </c>
      <c r="B112" s="5" t="str">
        <f t="shared" si="2"/>
        <v>SRS024625</v>
      </c>
      <c r="C112" s="5" t="s">
        <v>118</v>
      </c>
      <c r="D112" s="5">
        <v>-1.02358339467007E-2</v>
      </c>
      <c r="E112" s="5">
        <v>6.7029229003043297E-2</v>
      </c>
      <c r="F112" s="5">
        <v>-2.3774800071213201E-2</v>
      </c>
      <c r="G112" s="5">
        <v>-2.8898641686768301E-2</v>
      </c>
      <c r="H112" s="5"/>
      <c r="I112" s="5">
        <v>-0.307839775248819</v>
      </c>
      <c r="J112" s="5">
        <v>-0.23646146145035399</v>
      </c>
      <c r="K112" s="5">
        <v>0.13372999040422701</v>
      </c>
      <c r="L112" s="5">
        <v>0.248613382880226</v>
      </c>
      <c r="M112" s="5">
        <v>0.21099512711568399</v>
      </c>
      <c r="N112" s="5">
        <v>0.38592008269056699</v>
      </c>
      <c r="O112" s="5">
        <v>0.71995989204226296</v>
      </c>
    </row>
    <row r="113" spans="1:15" x14ac:dyDescent="0.2">
      <c r="A113" s="3" t="s">
        <v>95</v>
      </c>
      <c r="B113" s="5" t="str">
        <f t="shared" si="2"/>
        <v>SRS042628</v>
      </c>
      <c r="C113" s="5" t="s">
        <v>119</v>
      </c>
      <c r="D113" s="5">
        <v>0.10844212422692701</v>
      </c>
      <c r="E113" s="5">
        <v>3.3202493258087197E-2</v>
      </c>
      <c r="F113" s="5">
        <v>0.65766063210538706</v>
      </c>
      <c r="G113" s="5">
        <v>-0.20928248136284999</v>
      </c>
      <c r="H113" s="5">
        <v>0.74428307618801304</v>
      </c>
      <c r="I113" s="5">
        <v>-0.12064592772549</v>
      </c>
      <c r="J113" s="5">
        <v>-5.1162393184345303E-2</v>
      </c>
      <c r="K113" s="5">
        <v>0.208957129050936</v>
      </c>
      <c r="L113" s="5">
        <v>0.33389063642747702</v>
      </c>
      <c r="M113" s="5">
        <v>0.12102892121115499</v>
      </c>
      <c r="N113" s="5">
        <v>0.33831811846491899</v>
      </c>
      <c r="O113" s="5">
        <v>0.54586410907202099</v>
      </c>
    </row>
    <row r="114" spans="1:15" x14ac:dyDescent="0.2">
      <c r="A114" s="3" t="s">
        <v>95</v>
      </c>
      <c r="B114" s="5" t="str">
        <f t="shared" si="2"/>
        <v>SRS043001</v>
      </c>
      <c r="C114" s="5" t="s">
        <v>120</v>
      </c>
      <c r="D114" s="5">
        <v>0.36218953136623599</v>
      </c>
      <c r="E114" s="5">
        <v>-0.157995986246107</v>
      </c>
      <c r="F114" s="5">
        <v>6.1507005259756699E-2</v>
      </c>
      <c r="G114" s="5">
        <v>0.27756136109917501</v>
      </c>
      <c r="H114" s="5">
        <v>0.405778787094493</v>
      </c>
      <c r="I114" s="5">
        <v>-0.29563404908875701</v>
      </c>
      <c r="J114" s="5">
        <v>0.121399197242579</v>
      </c>
      <c r="K114" s="5">
        <v>0.15740728324876799</v>
      </c>
      <c r="L114" s="5">
        <v>0.22284510792590001</v>
      </c>
      <c r="M114" s="5">
        <v>0.188741965114362</v>
      </c>
      <c r="N114" s="5">
        <v>0.49270047511812698</v>
      </c>
      <c r="O114" s="5">
        <v>0.73690057227000705</v>
      </c>
    </row>
    <row r="115" spans="1:15" x14ac:dyDescent="0.2">
      <c r="A115" s="3" t="s">
        <v>95</v>
      </c>
      <c r="B115" s="5" t="str">
        <f t="shared" si="2"/>
        <v>SRS043701</v>
      </c>
      <c r="C115" s="5" t="s">
        <v>121</v>
      </c>
      <c r="D115" s="5">
        <v>-8.9763727428524495E-3</v>
      </c>
      <c r="E115" s="5">
        <v>0.26358460865110001</v>
      </c>
      <c r="F115" s="5">
        <v>5.6787208612839903E-2</v>
      </c>
      <c r="G115" s="5">
        <v>0.48266454746628701</v>
      </c>
      <c r="H115" s="5">
        <v>0.55372583453011204</v>
      </c>
      <c r="I115" s="5">
        <v>-0.29338456611008701</v>
      </c>
      <c r="J115" s="5">
        <v>-0.34558846340532201</v>
      </c>
      <c r="K115" s="5">
        <v>0.13397616659421999</v>
      </c>
      <c r="L115" s="5">
        <v>0.25352733085163398</v>
      </c>
      <c r="M115" s="5">
        <v>0.216659941702774</v>
      </c>
      <c r="N115" s="5">
        <v>0.46827616862585097</v>
      </c>
      <c r="O115" s="5">
        <v>0.71319148807152299</v>
      </c>
    </row>
    <row r="116" spans="1:15" x14ac:dyDescent="0.2">
      <c r="A116" s="3" t="s">
        <v>95</v>
      </c>
      <c r="B116" s="5" t="str">
        <f t="shared" si="2"/>
        <v>SRS045004</v>
      </c>
      <c r="C116" s="5" t="s">
        <v>122</v>
      </c>
      <c r="D116" s="5">
        <v>-0.119579538670745</v>
      </c>
      <c r="E116" s="5">
        <v>-0.10649582401438</v>
      </c>
      <c r="F116" s="5">
        <v>-6.9936000595362501E-3</v>
      </c>
      <c r="G116" s="5">
        <v>0.56427787297487497</v>
      </c>
      <c r="H116" s="5">
        <v>0.570884779224476</v>
      </c>
      <c r="I116" s="5">
        <v>0.33572073202616898</v>
      </c>
      <c r="J116" s="5">
        <v>-8.0242160437550697E-2</v>
      </c>
      <c r="K116" s="5">
        <v>0.124131099481227</v>
      </c>
      <c r="L116" s="5">
        <v>0.21114167866205999</v>
      </c>
      <c r="M116" s="5">
        <v>0.18182123770348099</v>
      </c>
      <c r="N116" s="5">
        <v>0.38398158289880902</v>
      </c>
      <c r="O116" s="5">
        <v>0.71283977934486997</v>
      </c>
    </row>
    <row r="117" spans="1:15" x14ac:dyDescent="0.2">
      <c r="A117" s="3" t="s">
        <v>95</v>
      </c>
      <c r="B117" s="5" t="str">
        <f t="shared" si="2"/>
        <v>SRS045645</v>
      </c>
      <c r="C117" s="5" t="s">
        <v>123</v>
      </c>
      <c r="D117" s="5">
        <v>-0.103441215776043</v>
      </c>
      <c r="E117" s="5">
        <v>0.18738642231144201</v>
      </c>
      <c r="F117" s="5">
        <v>6.5981914654956703E-2</v>
      </c>
      <c r="G117" s="5">
        <v>0.52306849299324498</v>
      </c>
      <c r="H117" s="5">
        <v>-0.36729484733811502</v>
      </c>
      <c r="I117" s="5">
        <v>0.47068988868287098</v>
      </c>
      <c r="J117" s="5">
        <v>-0.119492858407859</v>
      </c>
      <c r="K117" s="5">
        <v>0.10629854971862999</v>
      </c>
      <c r="L117" s="5">
        <v>0.20773080595434701</v>
      </c>
      <c r="M117" s="5">
        <v>0.224733660745183</v>
      </c>
      <c r="N117" s="5">
        <v>0.46831201606248302</v>
      </c>
      <c r="O117" s="5">
        <v>0.753270818344007</v>
      </c>
    </row>
    <row r="118" spans="1:15" x14ac:dyDescent="0.2">
      <c r="A118" s="3" t="s">
        <v>95</v>
      </c>
      <c r="B118" s="5" t="str">
        <f t="shared" si="2"/>
        <v>SRS047014</v>
      </c>
      <c r="C118" s="5" t="s">
        <v>124</v>
      </c>
      <c r="D118" s="5">
        <v>-5.7576342262104799E-2</v>
      </c>
      <c r="E118" s="5">
        <v>0.119836426067444</v>
      </c>
      <c r="F118" s="5">
        <v>-5.9456413973678401E-2</v>
      </c>
      <c r="G118" s="5">
        <v>-0.268144349950102</v>
      </c>
      <c r="H118" s="5">
        <v>0.53465782548629204</v>
      </c>
      <c r="I118" s="5">
        <v>-0.19920149130643999</v>
      </c>
      <c r="J118" s="5">
        <v>-0.18061415178759699</v>
      </c>
      <c r="K118" s="5">
        <v>0.117719656067498</v>
      </c>
      <c r="L118" s="5">
        <v>0.29653308134197798</v>
      </c>
      <c r="M118" s="5">
        <v>0.18544498882218799</v>
      </c>
      <c r="N118" s="5">
        <v>0.33090342999711703</v>
      </c>
      <c r="O118" s="5">
        <v>0.71238065008946305</v>
      </c>
    </row>
    <row r="119" spans="1:15" x14ac:dyDescent="0.2">
      <c r="A119" s="3" t="s">
        <v>95</v>
      </c>
      <c r="B119" s="5" t="str">
        <f t="shared" si="2"/>
        <v>SRS048164</v>
      </c>
      <c r="C119" s="5" t="s">
        <v>125</v>
      </c>
      <c r="D119" s="5">
        <v>0.14774008923801801</v>
      </c>
      <c r="E119" s="5">
        <v>1.0293791595431199E-2</v>
      </c>
      <c r="F119" s="5">
        <v>-3.1340376159059698E-4</v>
      </c>
      <c r="G119" s="5">
        <v>-0.44902315487292199</v>
      </c>
      <c r="H119" s="5">
        <v>0.85702437685260802</v>
      </c>
      <c r="I119" s="5">
        <v>-0.25167146165534998</v>
      </c>
      <c r="J119" s="5">
        <v>-0.190392397478678</v>
      </c>
      <c r="K119" s="5">
        <v>0.14324277517378201</v>
      </c>
      <c r="L119" s="5">
        <v>0.27395283607674398</v>
      </c>
      <c r="M119" s="5">
        <v>0.20411197654695901</v>
      </c>
      <c r="N119" s="5">
        <v>0.39250715838377498</v>
      </c>
      <c r="O119" s="5">
        <v>0.70164433497312795</v>
      </c>
    </row>
    <row r="120" spans="1:15" x14ac:dyDescent="0.2">
      <c r="A120" s="3" t="s">
        <v>95</v>
      </c>
      <c r="B120" s="5" t="str">
        <f t="shared" si="2"/>
        <v>SRS049712</v>
      </c>
      <c r="C120" s="5" t="s">
        <v>126</v>
      </c>
      <c r="D120" s="5">
        <v>-9.1285289211583298E-2</v>
      </c>
      <c r="E120" s="5">
        <v>0.29882562327808598</v>
      </c>
      <c r="F120" s="5">
        <v>0.114119811116346</v>
      </c>
      <c r="G120" s="5">
        <v>0.75969024258179696</v>
      </c>
      <c r="H120" s="5">
        <v>0.66482802102525795</v>
      </c>
      <c r="I120" s="5">
        <v>-1.0284523029317099E-2</v>
      </c>
      <c r="J120" s="5">
        <v>-0.35009199112415101</v>
      </c>
      <c r="K120" s="5">
        <v>6.0974883914635701E-2</v>
      </c>
      <c r="L120" s="5">
        <v>0.19752113321408199</v>
      </c>
      <c r="M120" s="5">
        <v>0.26217709456944899</v>
      </c>
      <c r="N120" s="5">
        <v>-0.49311431278328499</v>
      </c>
      <c r="O120" s="5">
        <v>0.72421189831150101</v>
      </c>
    </row>
    <row r="121" spans="1:15" x14ac:dyDescent="0.2">
      <c r="A121" s="3" t="s">
        <v>95</v>
      </c>
      <c r="B121" s="5" t="str">
        <f t="shared" si="2"/>
        <v>SRS049995</v>
      </c>
      <c r="C121" s="5" t="s">
        <v>127</v>
      </c>
      <c r="D121" s="5">
        <v>-1.3679253550094601E-2</v>
      </c>
      <c r="E121" s="5">
        <v>5.1560104367050899E-2</v>
      </c>
      <c r="F121" s="5">
        <v>-4.2685225819643603E-2</v>
      </c>
      <c r="G121" s="5">
        <v>0.56905949548713797</v>
      </c>
      <c r="H121" s="5">
        <v>-0.355537481192856</v>
      </c>
      <c r="I121" s="5">
        <v>-0.12864779995213599</v>
      </c>
      <c r="J121" s="5">
        <v>-0.43183586387510697</v>
      </c>
      <c r="K121" s="5">
        <v>8.9241154071115297E-2</v>
      </c>
      <c r="L121" s="5">
        <v>0.22291296792488499</v>
      </c>
      <c r="M121" s="5">
        <v>0.24216221369583099</v>
      </c>
      <c r="N121" s="5">
        <v>-0.46498774699066098</v>
      </c>
      <c r="O121" s="5">
        <v>0.73868753437102497</v>
      </c>
    </row>
    <row r="122" spans="1:15" x14ac:dyDescent="0.2">
      <c r="A122" s="3" t="s">
        <v>95</v>
      </c>
      <c r="B122" s="5" t="str">
        <f t="shared" si="2"/>
        <v>SRS050925</v>
      </c>
      <c r="C122" s="5" t="s">
        <v>128</v>
      </c>
      <c r="D122" s="5">
        <v>-6.3503341743366595E-2</v>
      </c>
      <c r="E122" s="5">
        <v>1.5251436050045799E-2</v>
      </c>
      <c r="F122" s="5">
        <v>0.20325858852586601</v>
      </c>
      <c r="G122" s="5">
        <v>0.249173590234889</v>
      </c>
      <c r="H122" s="5">
        <v>9.3721218802063203E-2</v>
      </c>
      <c r="I122" s="5">
        <v>-0.207400023848059</v>
      </c>
      <c r="J122" s="5">
        <v>5.1519825132600103E-2</v>
      </c>
      <c r="K122" s="5">
        <v>0.19214558211375199</v>
      </c>
      <c r="L122" s="5">
        <v>0.290472131611688</v>
      </c>
      <c r="M122" s="5">
        <v>0.17781692428363999</v>
      </c>
      <c r="N122" s="5">
        <v>0.349101575179528</v>
      </c>
      <c r="O122" s="5">
        <v>0.54112966041495703</v>
      </c>
    </row>
    <row r="123" spans="1:15" x14ac:dyDescent="0.2">
      <c r="A123" s="3" t="s">
        <v>95</v>
      </c>
      <c r="B123" s="5" t="str">
        <f t="shared" si="2"/>
        <v>SRS051882</v>
      </c>
      <c r="C123" s="5" t="s">
        <v>129</v>
      </c>
      <c r="D123" s="5">
        <v>0.49585853258207002</v>
      </c>
      <c r="E123" s="5">
        <v>-0.15715115565856899</v>
      </c>
      <c r="F123" s="5">
        <v>9.6915641522692803E-2</v>
      </c>
      <c r="G123" s="5">
        <v>0.66862556726879196</v>
      </c>
      <c r="H123" s="5"/>
      <c r="I123" s="5">
        <v>-2.52389471679497E-2</v>
      </c>
      <c r="J123" s="5">
        <v>-0.13643670077582001</v>
      </c>
      <c r="K123" s="5">
        <v>0.13542581853621899</v>
      </c>
      <c r="L123" s="5">
        <v>0.230815966216354</v>
      </c>
      <c r="M123" s="5">
        <v>0.21896697199613799</v>
      </c>
      <c r="N123" s="5">
        <v>0.45877822368120702</v>
      </c>
      <c r="O123" s="5">
        <v>0.61845169379988696</v>
      </c>
    </row>
    <row r="124" spans="1:15" x14ac:dyDescent="0.2">
      <c r="A124" s="3" t="s">
        <v>95</v>
      </c>
      <c r="B124" s="5" t="str">
        <f t="shared" si="2"/>
        <v>SRS058770</v>
      </c>
      <c r="C124" s="5" t="s">
        <v>130</v>
      </c>
      <c r="D124" s="5">
        <v>-0.108120099761688</v>
      </c>
      <c r="E124" s="5">
        <v>1.01290722474514E-3</v>
      </c>
      <c r="F124" s="5">
        <v>0.13357269654128101</v>
      </c>
      <c r="G124" s="5">
        <v>0.77969116887273604</v>
      </c>
      <c r="H124" s="5">
        <v>9.1858580786710997E-2</v>
      </c>
      <c r="I124" s="5">
        <v>-2.5085898653030798E-2</v>
      </c>
      <c r="J124" s="5">
        <v>8.9634504050160393E-2</v>
      </c>
      <c r="K124" s="5">
        <v>8.2867453422153597E-2</v>
      </c>
      <c r="L124" s="5">
        <v>0.14148297482201799</v>
      </c>
      <c r="M124" s="5">
        <v>0.218719841412016</v>
      </c>
      <c r="N124" s="5">
        <v>0.44941831389019399</v>
      </c>
      <c r="O124" s="5">
        <v>0.73686275970667503</v>
      </c>
    </row>
    <row r="125" spans="1:15" x14ac:dyDescent="0.2">
      <c r="A125" s="3" t="s">
        <v>95</v>
      </c>
      <c r="B125" s="5" t="str">
        <f t="shared" si="2"/>
        <v>SRS062427</v>
      </c>
      <c r="C125" s="5" t="s">
        <v>131</v>
      </c>
      <c r="D125" s="5">
        <v>8.3060157881790206E-2</v>
      </c>
      <c r="E125" s="5">
        <v>3.9780847642496002E-2</v>
      </c>
      <c r="F125" s="5">
        <v>0.25223940437676901</v>
      </c>
      <c r="G125" s="5">
        <v>0.15784547909498101</v>
      </c>
      <c r="H125" s="5">
        <v>0.91412397629291398</v>
      </c>
      <c r="I125" s="5">
        <v>-0.24920270069810199</v>
      </c>
      <c r="J125" s="5">
        <v>4.62488178996198E-2</v>
      </c>
      <c r="K125" s="5">
        <v>0.12152754731019701</v>
      </c>
      <c r="L125" s="5">
        <v>0.185535398597722</v>
      </c>
      <c r="M125" s="5">
        <v>0.220912043669306</v>
      </c>
      <c r="N125" s="5">
        <v>0.47365655781351601</v>
      </c>
      <c r="O125" s="5">
        <v>0.68377996847869105</v>
      </c>
    </row>
    <row r="126" spans="1:15" x14ac:dyDescent="0.2">
      <c r="A126" s="3" t="s">
        <v>95</v>
      </c>
      <c r="B126" s="5" t="str">
        <f t="shared" si="2"/>
        <v>SRS063040</v>
      </c>
      <c r="C126" s="5" t="s">
        <v>132</v>
      </c>
      <c r="D126" s="5">
        <v>-2.9868358248675699E-2</v>
      </c>
      <c r="E126" s="5">
        <v>-1.33103364246014E-2</v>
      </c>
      <c r="F126" s="5">
        <v>0.208653559247476</v>
      </c>
      <c r="G126" s="5">
        <v>0.40982910431042502</v>
      </c>
      <c r="H126" s="5">
        <v>0.35889139460921399</v>
      </c>
      <c r="I126" s="5">
        <v>-7.9713395311126603E-2</v>
      </c>
      <c r="J126" s="5">
        <v>-0.14044787272422199</v>
      </c>
      <c r="K126" s="5">
        <v>0.109202677602991</v>
      </c>
      <c r="L126" s="5">
        <v>0.23693676171275799</v>
      </c>
      <c r="M126" s="5">
        <v>0.221014658529848</v>
      </c>
      <c r="N126" s="5">
        <v>0.43546655984618299</v>
      </c>
      <c r="O126" s="5">
        <v>0.68543811415390399</v>
      </c>
    </row>
    <row r="127" spans="1:15" x14ac:dyDescent="0.2">
      <c r="A127" s="3" t="s">
        <v>95</v>
      </c>
      <c r="B127" s="5" t="str">
        <f t="shared" si="2"/>
        <v>SRS065504</v>
      </c>
      <c r="C127" s="5" t="s">
        <v>133</v>
      </c>
      <c r="D127" s="5">
        <v>-2.2784937952702599E-2</v>
      </c>
      <c r="E127" s="5">
        <v>6.3939936367001002E-2</v>
      </c>
      <c r="F127" s="5">
        <v>-1.30606558234002E-2</v>
      </c>
      <c r="G127" s="5">
        <v>0.228978748184272</v>
      </c>
      <c r="H127" s="5">
        <v>-0.165487288178675</v>
      </c>
      <c r="I127" s="5">
        <v>3.7121676298852699E-2</v>
      </c>
      <c r="J127" s="5">
        <v>-7.5356520233863106E-2</v>
      </c>
      <c r="K127" s="5">
        <v>0.111426785425032</v>
      </c>
      <c r="L127" s="5">
        <v>0.21007123153297899</v>
      </c>
      <c r="M127" s="5">
        <v>0.23440187549253899</v>
      </c>
      <c r="N127" s="5">
        <v>0.47571546026531703</v>
      </c>
      <c r="O127" s="5">
        <v>0.58514184897923804</v>
      </c>
    </row>
    <row r="128" spans="1:15" x14ac:dyDescent="0.2">
      <c r="A128" s="3" t="s">
        <v>95</v>
      </c>
      <c r="B128" s="5" t="str">
        <f t="shared" si="2"/>
        <v>SRS075398</v>
      </c>
      <c r="C128" s="5" t="s">
        <v>134</v>
      </c>
      <c r="D128" s="5">
        <v>-8.5528715843364196E-3</v>
      </c>
      <c r="E128" s="5">
        <v>-0.12472657980643199</v>
      </c>
      <c r="F128" s="5">
        <v>1.53102565823072E-2</v>
      </c>
      <c r="G128" s="5">
        <v>0.520008100548771</v>
      </c>
      <c r="H128" s="5">
        <v>0.70664414718101198</v>
      </c>
      <c r="I128" s="5">
        <v>0.26114615682110398</v>
      </c>
      <c r="J128" s="5">
        <v>7.4831674497430695E-2</v>
      </c>
      <c r="K128" s="5">
        <v>8.3236183211595496E-2</v>
      </c>
      <c r="L128" s="5">
        <v>0.14180607094858699</v>
      </c>
      <c r="M128" s="5">
        <v>0.24145825052595499</v>
      </c>
      <c r="N128" s="5">
        <v>0.49341482328300901</v>
      </c>
      <c r="O128" s="5">
        <v>0.66646529203621996</v>
      </c>
    </row>
    <row r="129" spans="1:15" x14ac:dyDescent="0.2">
      <c r="A129" s="4" t="s">
        <v>135</v>
      </c>
      <c r="B129" s="5" t="str">
        <f t="shared" ref="B129:B177" si="3">RIGHT(C129,9)</f>
        <v>SRS011111</v>
      </c>
      <c r="C129" s="5" t="s">
        <v>136</v>
      </c>
      <c r="D129" s="5">
        <v>0.14519860134962501</v>
      </c>
      <c r="E129" s="5">
        <v>0.12157718330992499</v>
      </c>
      <c r="F129" s="5">
        <v>2.5468371472333998E-2</v>
      </c>
      <c r="G129" s="5">
        <v>0.21608071901472101</v>
      </c>
      <c r="H129" s="5">
        <v>1.0167735998281699E-2</v>
      </c>
      <c r="I129" s="5">
        <v>0.13333566008915601</v>
      </c>
      <c r="J129" s="5">
        <v>-1.07613045422075E-2</v>
      </c>
      <c r="K129" s="5">
        <v>-0.308595249098775</v>
      </c>
      <c r="L129" s="5">
        <v>0.315036167968545</v>
      </c>
      <c r="M129" s="5">
        <v>0.185450057725246</v>
      </c>
      <c r="N129" s="5">
        <v>0.42389456948637899</v>
      </c>
      <c r="O129" s="5">
        <v>0.36925504472348702</v>
      </c>
    </row>
    <row r="130" spans="1:15" x14ac:dyDescent="0.2">
      <c r="A130" s="4" t="s">
        <v>135</v>
      </c>
      <c r="B130" s="5" t="str">
        <f t="shared" si="3"/>
        <v>SRS011269</v>
      </c>
      <c r="C130" s="5" t="s">
        <v>137</v>
      </c>
      <c r="D130" s="5">
        <v>-0.20243461083036299</v>
      </c>
      <c r="E130" s="5">
        <v>-3.6644757312314299E-2</v>
      </c>
      <c r="F130" s="5">
        <v>-5.1716888543954197E-2</v>
      </c>
      <c r="G130" s="5">
        <v>-0.124406746112719</v>
      </c>
      <c r="H130" s="5"/>
      <c r="I130" s="5">
        <v>0.64602512242029497</v>
      </c>
      <c r="J130" s="5">
        <v>-1.45444541442713E-2</v>
      </c>
      <c r="K130" s="5">
        <v>-2.0607191119615599E-2</v>
      </c>
      <c r="L130" s="5">
        <v>0.20211282434767799</v>
      </c>
      <c r="M130" s="5">
        <v>0.29587987794065901</v>
      </c>
      <c r="N130" s="5">
        <v>0.26689971557978798</v>
      </c>
      <c r="O130" s="5">
        <v>-0.70057282169148904</v>
      </c>
    </row>
    <row r="131" spans="1:15" x14ac:dyDescent="0.2">
      <c r="A131" s="4" t="s">
        <v>135</v>
      </c>
      <c r="B131" s="5" t="str">
        <f t="shared" si="3"/>
        <v>SRS011355</v>
      </c>
      <c r="C131" s="5" t="s">
        <v>138</v>
      </c>
      <c r="D131" s="5">
        <v>-9.0876486618523003E-2</v>
      </c>
      <c r="E131" s="5">
        <v>-7.9072392694760699E-2</v>
      </c>
      <c r="F131" s="5">
        <v>-0.100381258069806</v>
      </c>
      <c r="G131" s="5">
        <v>0.13940933012644399</v>
      </c>
      <c r="H131" s="5"/>
      <c r="I131" s="5">
        <v>0.88885506491796895</v>
      </c>
      <c r="J131" s="5">
        <v>6.12008364353284E-2</v>
      </c>
      <c r="K131" s="5">
        <v>2.2874850139890102E-2</v>
      </c>
      <c r="L131" s="5">
        <v>-4.6744539098499099E-2</v>
      </c>
      <c r="M131" s="5">
        <v>-0.112889517948545</v>
      </c>
      <c r="N131" s="5">
        <v>0.25958539196999098</v>
      </c>
      <c r="O131" s="5">
        <v>-7.2007007977750698E-2</v>
      </c>
    </row>
    <row r="132" spans="1:15" x14ac:dyDescent="0.2">
      <c r="A132" s="4" t="s">
        <v>135</v>
      </c>
      <c r="B132" s="5" t="str">
        <f t="shared" si="3"/>
        <v>SRS011584</v>
      </c>
      <c r="C132" s="5" t="s">
        <v>139</v>
      </c>
      <c r="D132" s="5">
        <v>0.296715057167034</v>
      </c>
      <c r="E132" s="5">
        <v>-0.28448565234105599</v>
      </c>
      <c r="F132" s="5">
        <v>-0.17497561934566799</v>
      </c>
      <c r="G132" s="5"/>
      <c r="H132" s="5"/>
      <c r="I132" s="5">
        <v>-0.130344521764374</v>
      </c>
      <c r="J132" s="5">
        <v>-2.1336970394502899E-2</v>
      </c>
      <c r="K132" s="5">
        <v>-2.5554290934599901E-2</v>
      </c>
      <c r="L132" s="5">
        <v>0.164384162989131</v>
      </c>
      <c r="M132" s="5">
        <v>0.30013482373108802</v>
      </c>
      <c r="N132" s="5">
        <v>0.25958539196999098</v>
      </c>
      <c r="O132" s="5">
        <v>-0.70150493294399097</v>
      </c>
    </row>
    <row r="133" spans="1:15" x14ac:dyDescent="0.2">
      <c r="A133" s="4" t="s">
        <v>135</v>
      </c>
      <c r="B133" s="5" t="str">
        <f t="shared" si="3"/>
        <v>SRS012294</v>
      </c>
      <c r="C133" s="5" t="s">
        <v>140</v>
      </c>
      <c r="D133" s="5">
        <v>-8.5830138918230506E-2</v>
      </c>
      <c r="E133" s="5">
        <v>-0.11578697572272301</v>
      </c>
      <c r="F133" s="5">
        <v>-6.9725358463414502E-2</v>
      </c>
      <c r="G133" s="5"/>
      <c r="H133" s="5"/>
      <c r="I133" s="5">
        <v>-8.9943365071027501E-2</v>
      </c>
      <c r="J133" s="5">
        <v>-2.01095366628467E-3</v>
      </c>
      <c r="K133" s="5">
        <v>-1.45410501273229E-2</v>
      </c>
      <c r="L133" s="5">
        <v>0.112934309048277</v>
      </c>
      <c r="M133" s="5">
        <v>0.27208434713715002</v>
      </c>
      <c r="N133" s="5">
        <v>0.25958539196999098</v>
      </c>
      <c r="O133" s="5">
        <v>-0.69141490833331498</v>
      </c>
    </row>
    <row r="134" spans="1:15" x14ac:dyDescent="0.2">
      <c r="A134" s="4" t="s">
        <v>135</v>
      </c>
      <c r="B134" s="5" t="str">
        <f t="shared" si="3"/>
        <v>SRS013542</v>
      </c>
      <c r="C134" s="5" t="s">
        <v>141</v>
      </c>
      <c r="D134" s="5">
        <v>-5.9047928156433602E-2</v>
      </c>
      <c r="E134" s="5">
        <v>-0.100740352639102</v>
      </c>
      <c r="F134" s="5">
        <v>0.129945201245696</v>
      </c>
      <c r="G134" s="5">
        <v>0.18785739703524501</v>
      </c>
      <c r="H134" s="5"/>
      <c r="I134" s="5">
        <v>0.71751491899852304</v>
      </c>
      <c r="J134" s="5">
        <v>-1.00473102926184E-4</v>
      </c>
      <c r="K134" s="5">
        <v>-0.30419167871387298</v>
      </c>
      <c r="L134" s="5">
        <v>0.27877569756953702</v>
      </c>
      <c r="M134" s="5">
        <v>0.19778823735244999</v>
      </c>
      <c r="N134" s="5">
        <v>0.15695307049687199</v>
      </c>
      <c r="O134" s="5">
        <v>0.51029107222971304</v>
      </c>
    </row>
    <row r="135" spans="1:15" x14ac:dyDescent="0.2">
      <c r="A135" s="4" t="s">
        <v>135</v>
      </c>
      <c r="B135" s="5" t="str">
        <f t="shared" si="3"/>
        <v>SRS014465</v>
      </c>
      <c r="C135" s="5" t="s">
        <v>142</v>
      </c>
      <c r="D135" s="5">
        <v>-0.137283378302025</v>
      </c>
      <c r="E135" s="5">
        <v>-2.6910768575178399E-3</v>
      </c>
      <c r="F135" s="5">
        <v>0.43648711853840599</v>
      </c>
      <c r="G135" s="5">
        <v>5.2101068210039597E-2</v>
      </c>
      <c r="H135" s="5"/>
      <c r="I135" s="5">
        <v>0.33161028590132502</v>
      </c>
      <c r="J135" s="5">
        <v>9.9178893671387491E-3</v>
      </c>
      <c r="K135" s="5">
        <v>3.4461130936360801E-2</v>
      </c>
      <c r="L135" s="5">
        <v>0.13418873490921501</v>
      </c>
      <c r="M135" s="5">
        <v>-0.16809328408757199</v>
      </c>
      <c r="N135" s="5">
        <v>-0.52890937380491798</v>
      </c>
      <c r="O135" s="5">
        <v>-0.62457327720714695</v>
      </c>
    </row>
    <row r="136" spans="1:15" x14ac:dyDescent="0.2">
      <c r="A136" s="4" t="s">
        <v>135</v>
      </c>
      <c r="B136" s="5" t="str">
        <f t="shared" si="3"/>
        <v>SRS014466</v>
      </c>
      <c r="C136" s="5" t="s">
        <v>143</v>
      </c>
      <c r="D136" s="5">
        <v>0.35831995583676801</v>
      </c>
      <c r="E136" s="5">
        <v>1.3600586342424101E-2</v>
      </c>
      <c r="F136" s="5">
        <v>-0.16528558782807601</v>
      </c>
      <c r="G136" s="5">
        <v>2.53621275909716E-2</v>
      </c>
      <c r="H136" s="5"/>
      <c r="I136" s="5">
        <v>0.443288947542964</v>
      </c>
      <c r="J136" s="5">
        <v>1.9721124723754101E-2</v>
      </c>
      <c r="K136" s="5">
        <v>4.9228892420540502E-2</v>
      </c>
      <c r="L136" s="5">
        <v>2.3900545743019901E-2</v>
      </c>
      <c r="M136" s="5">
        <v>-0.234966485692154</v>
      </c>
      <c r="N136" s="5">
        <v>0.26394217609834503</v>
      </c>
      <c r="O136" s="5">
        <v>-0.335060642022179</v>
      </c>
    </row>
    <row r="137" spans="1:15" x14ac:dyDescent="0.2">
      <c r="A137" s="4" t="s">
        <v>135</v>
      </c>
      <c r="B137" s="5" t="str">
        <f t="shared" si="3"/>
        <v>SRS014494</v>
      </c>
      <c r="C137" s="5" t="s">
        <v>144</v>
      </c>
      <c r="D137" s="5">
        <v>-0.144398074593801</v>
      </c>
      <c r="E137" s="5">
        <v>9.3814933220221202E-3</v>
      </c>
      <c r="F137" s="5">
        <v>-0.30578115055400601</v>
      </c>
      <c r="G137" s="5">
        <v>0.43488494256168803</v>
      </c>
      <c r="H137" s="5"/>
      <c r="I137" s="5">
        <v>0.54738158515910496</v>
      </c>
      <c r="J137" s="5">
        <v>5.1238352766168803E-2</v>
      </c>
      <c r="K137" s="5">
        <v>9.3868836252685495E-2</v>
      </c>
      <c r="L137" s="5">
        <v>5.7313646993435399E-2</v>
      </c>
      <c r="M137" s="5">
        <v>-0.190070214367518</v>
      </c>
      <c r="N137" s="5">
        <v>-0.25892258919962302</v>
      </c>
      <c r="O137" s="5">
        <v>-0.43959159238485401</v>
      </c>
    </row>
    <row r="138" spans="1:15" x14ac:dyDescent="0.2">
      <c r="A138" s="4" t="s">
        <v>135</v>
      </c>
      <c r="B138" s="5" t="str">
        <f t="shared" si="3"/>
        <v>SRS015054</v>
      </c>
      <c r="C138" s="5" t="s">
        <v>145</v>
      </c>
      <c r="D138" s="5">
        <v>-8.3932581784766702E-2</v>
      </c>
      <c r="E138" s="5">
        <v>3.1291931728485697E-2</v>
      </c>
      <c r="F138" s="5">
        <v>-0.124380218570806</v>
      </c>
      <c r="G138" s="5">
        <v>0.13446188809922799</v>
      </c>
      <c r="H138" s="5">
        <v>0.87804919399232495</v>
      </c>
      <c r="I138" s="5">
        <v>0.30216225869093599</v>
      </c>
      <c r="J138" s="5">
        <v>2.8183994659180698E-3</v>
      </c>
      <c r="K138" s="5">
        <v>-2.2637128227473699E-2</v>
      </c>
      <c r="L138" s="5">
        <v>-3.6958426135006502E-2</v>
      </c>
      <c r="M138" s="5">
        <v>-9.9204109624949299E-2</v>
      </c>
      <c r="N138" s="5">
        <v>-0.53504869638171704</v>
      </c>
      <c r="O138" s="5">
        <v>-0.148397590655197</v>
      </c>
    </row>
    <row r="139" spans="1:15" x14ac:dyDescent="0.2">
      <c r="A139" s="4" t="s">
        <v>135</v>
      </c>
      <c r="B139" s="5" t="str">
        <f t="shared" si="3"/>
        <v>SRS015071</v>
      </c>
      <c r="C139" s="5" t="s">
        <v>146</v>
      </c>
      <c r="D139" s="5">
        <v>6.3084329080954502E-2</v>
      </c>
      <c r="E139" s="5">
        <v>-9.3568630885336998E-2</v>
      </c>
      <c r="F139" s="5">
        <v>-0.201747082644571</v>
      </c>
      <c r="G139" s="5">
        <v>0.222291656034206</v>
      </c>
      <c r="H139" s="5"/>
      <c r="I139" s="5">
        <v>0.54103423206410395</v>
      </c>
      <c r="J139" s="5">
        <v>2.1813678314532601E-2</v>
      </c>
      <c r="K139" s="5">
        <v>2.1980688005194898E-2</v>
      </c>
      <c r="L139" s="5">
        <v>3.4751512436515197E-2</v>
      </c>
      <c r="M139" s="5">
        <v>-0.18638439698943299</v>
      </c>
      <c r="N139" s="5">
        <v>0.25958539196999098</v>
      </c>
      <c r="O139" s="5">
        <v>-0.38801860335862198</v>
      </c>
    </row>
    <row r="140" spans="1:15" x14ac:dyDescent="0.2">
      <c r="A140" s="4" t="s">
        <v>135</v>
      </c>
      <c r="B140" s="5" t="str">
        <f t="shared" si="3"/>
        <v>SRS015072</v>
      </c>
      <c r="C140" s="5" t="s">
        <v>147</v>
      </c>
      <c r="D140" s="5">
        <v>4.8558386568846798E-2</v>
      </c>
      <c r="E140" s="5">
        <v>2.7974492599986699E-2</v>
      </c>
      <c r="F140" s="5">
        <v>2.24279916554448E-2</v>
      </c>
      <c r="G140" s="5">
        <v>-0.12661691851628901</v>
      </c>
      <c r="H140" s="5"/>
      <c r="I140" s="5">
        <v>0.40827590793289098</v>
      </c>
      <c r="J140" s="5">
        <v>5.6337613818686301E-2</v>
      </c>
      <c r="K140" s="5">
        <v>3.77206294724068E-2</v>
      </c>
      <c r="L140" s="5">
        <v>7.7168528286279806E-2</v>
      </c>
      <c r="M140" s="5">
        <v>-0.15844322636066799</v>
      </c>
      <c r="N140" s="5">
        <v>-0.21001238018672699</v>
      </c>
      <c r="O140" s="5">
        <v>-0.62100436026649597</v>
      </c>
    </row>
    <row r="141" spans="1:15" x14ac:dyDescent="0.2">
      <c r="A141" s="4" t="s">
        <v>135</v>
      </c>
      <c r="B141" s="5" t="str">
        <f t="shared" si="3"/>
        <v>SRS015073</v>
      </c>
      <c r="C141" s="5" t="s">
        <v>148</v>
      </c>
      <c r="D141" s="5">
        <v>-9.9351359145478602E-2</v>
      </c>
      <c r="E141" s="5">
        <v>0.25464793623732901</v>
      </c>
      <c r="F141" s="5">
        <v>-0.17555285153340699</v>
      </c>
      <c r="G141" s="5">
        <v>0.26761924801585202</v>
      </c>
      <c r="H141" s="5"/>
      <c r="I141" s="5">
        <v>0.699860770472712</v>
      </c>
      <c r="J141" s="5">
        <v>6.53809063039274E-2</v>
      </c>
      <c r="K141" s="5">
        <v>8.6054052929087702E-2</v>
      </c>
      <c r="L141" s="5">
        <v>0.206136486680838</v>
      </c>
      <c r="M141" s="5">
        <v>-0.140964320548222</v>
      </c>
      <c r="N141" s="5">
        <v>0.112494664481625</v>
      </c>
      <c r="O141" s="5">
        <v>-0.33549453095187498</v>
      </c>
    </row>
    <row r="142" spans="1:15" x14ac:dyDescent="0.2">
      <c r="A142" s="4" t="s">
        <v>135</v>
      </c>
      <c r="B142" s="5" t="str">
        <f t="shared" si="3"/>
        <v>SRS015168</v>
      </c>
      <c r="C142" s="5" t="s">
        <v>149</v>
      </c>
      <c r="D142" s="5">
        <v>-3.3581994235684601E-2</v>
      </c>
      <c r="E142" s="5">
        <v>0.27896586889860397</v>
      </c>
      <c r="F142" s="5">
        <v>0.308899810660482</v>
      </c>
      <c r="G142" s="5">
        <v>0.48858848349692002</v>
      </c>
      <c r="H142" s="5"/>
      <c r="I142" s="5">
        <v>0.143659349531885</v>
      </c>
      <c r="J142" s="5">
        <v>6.7247252227204402E-2</v>
      </c>
      <c r="K142" s="5">
        <v>7.0058391289479598E-3</v>
      </c>
      <c r="L142" s="5">
        <v>-3.8919217695386699E-2</v>
      </c>
      <c r="M142" s="5">
        <v>-0.101025722806293</v>
      </c>
      <c r="N142" s="5">
        <v>-0.42196307010288497</v>
      </c>
      <c r="O142" s="5">
        <v>-8.8448066170853698E-2</v>
      </c>
    </row>
    <row r="143" spans="1:15" x14ac:dyDescent="0.2">
      <c r="A143" s="4" t="s">
        <v>135</v>
      </c>
      <c r="B143" s="5" t="str">
        <f t="shared" si="3"/>
        <v>SRS015425</v>
      </c>
      <c r="C143" s="5" t="s">
        <v>150</v>
      </c>
      <c r="D143" s="5">
        <v>-8.5317763614032899E-2</v>
      </c>
      <c r="E143" s="5">
        <v>-9.9356317745829606E-2</v>
      </c>
      <c r="F143" s="5">
        <v>0.105735796639312</v>
      </c>
      <c r="G143" s="5">
        <v>-9.9891506585909701E-2</v>
      </c>
      <c r="H143" s="5"/>
      <c r="I143" s="5">
        <v>0.63239843027199705</v>
      </c>
      <c r="J143" s="5">
        <v>6.2051952207252403E-2</v>
      </c>
      <c r="K143" s="5">
        <v>-1.30231370801751E-2</v>
      </c>
      <c r="L143" s="5">
        <v>-3.06559846573881E-2</v>
      </c>
      <c r="M143" s="5">
        <v>-0.175620288399085</v>
      </c>
      <c r="N143" s="5">
        <v>-0.39645145275695298</v>
      </c>
      <c r="O143" s="5">
        <v>-0.303102556294706</v>
      </c>
    </row>
    <row r="144" spans="1:15" x14ac:dyDescent="0.2">
      <c r="A144" s="4" t="s">
        <v>135</v>
      </c>
      <c r="B144" s="5" t="str">
        <f t="shared" si="3"/>
        <v>SRS016516</v>
      </c>
      <c r="C144" s="5" t="s">
        <v>151</v>
      </c>
      <c r="D144" s="5">
        <v>-0.197143697099814</v>
      </c>
      <c r="E144" s="5">
        <v>0.25177730680051003</v>
      </c>
      <c r="F144" s="5">
        <v>-0.25638854465135502</v>
      </c>
      <c r="G144" s="5"/>
      <c r="H144" s="5"/>
      <c r="I144" s="5">
        <v>0.87906223140460904</v>
      </c>
      <c r="J144" s="5">
        <v>6.2691594161454298E-2</v>
      </c>
      <c r="K144" s="5">
        <v>2.41826604154236E-2</v>
      </c>
      <c r="L144" s="5">
        <v>-3.7090724503435299E-2</v>
      </c>
      <c r="M144" s="5">
        <v>-0.105386630252479</v>
      </c>
      <c r="N144" s="5">
        <v>0.25958539196999098</v>
      </c>
      <c r="O144" s="5">
        <v>-0.11425943951309001</v>
      </c>
    </row>
    <row r="145" spans="1:15" x14ac:dyDescent="0.2">
      <c r="A145" s="4" t="s">
        <v>135</v>
      </c>
      <c r="B145" s="5" t="str">
        <f t="shared" si="3"/>
        <v>SRS016584</v>
      </c>
      <c r="C145" s="5" t="s">
        <v>152</v>
      </c>
      <c r="D145" s="5">
        <v>5.9120488985688002E-2</v>
      </c>
      <c r="E145" s="5">
        <v>-0.22943034350031699</v>
      </c>
      <c r="F145" s="5">
        <v>1.3668076841447401E-2</v>
      </c>
      <c r="G145" s="5">
        <v>-5.9088840759957399E-2</v>
      </c>
      <c r="H145" s="5"/>
      <c r="I145" s="5">
        <v>0.88253650999382705</v>
      </c>
      <c r="J145" s="5">
        <v>4.25561588633495E-2</v>
      </c>
      <c r="K145" s="5">
        <v>0.26221374891745097</v>
      </c>
      <c r="L145" s="5">
        <v>0.24944459537750799</v>
      </c>
      <c r="M145" s="5">
        <v>-0.24001073275811</v>
      </c>
      <c r="N145" s="5">
        <v>0.25958539196999098</v>
      </c>
      <c r="O145" s="5">
        <v>0.44718152982392001</v>
      </c>
    </row>
    <row r="146" spans="1:15" x14ac:dyDescent="0.2">
      <c r="A146" s="4" t="s">
        <v>135</v>
      </c>
      <c r="B146" s="5" t="str">
        <f t="shared" si="3"/>
        <v>SRS017497</v>
      </c>
      <c r="C146" s="5" t="s">
        <v>153</v>
      </c>
      <c r="D146" s="5">
        <v>0.150373523929514</v>
      </c>
      <c r="E146" s="5">
        <v>-0.11363190971150899</v>
      </c>
      <c r="F146" s="5">
        <v>0.24243945237622799</v>
      </c>
      <c r="G146" s="5">
        <v>9.4406234388866805E-2</v>
      </c>
      <c r="H146" s="5"/>
      <c r="I146" s="5">
        <v>0.66520899477639495</v>
      </c>
      <c r="J146" s="5">
        <v>-7.5898429701051397E-3</v>
      </c>
      <c r="K146" s="5">
        <v>-0.21281058436518999</v>
      </c>
      <c r="L146" s="5">
        <v>0.31504785859065099</v>
      </c>
      <c r="M146" s="5">
        <v>0.17375742153603099</v>
      </c>
      <c r="N146" s="5">
        <v>0.14494363166516999</v>
      </c>
      <c r="O146" s="5">
        <v>0.57591972555123105</v>
      </c>
    </row>
    <row r="147" spans="1:15" x14ac:dyDescent="0.2">
      <c r="A147" s="4" t="s">
        <v>135</v>
      </c>
      <c r="B147" s="5" t="str">
        <f t="shared" si="3"/>
        <v>SRS017520</v>
      </c>
      <c r="C147" s="5" t="s">
        <v>154</v>
      </c>
      <c r="D147" s="5">
        <v>-8.0015983962431397E-2</v>
      </c>
      <c r="E147" s="5">
        <v>-1.1615967513763099E-2</v>
      </c>
      <c r="F147" s="5">
        <v>0.31726863908198999</v>
      </c>
      <c r="G147" s="5">
        <v>0.17884901172284901</v>
      </c>
      <c r="H147" s="5"/>
      <c r="I147" s="5">
        <v>-0.113762329838045</v>
      </c>
      <c r="J147" s="5">
        <v>-2.1910995424815299E-3</v>
      </c>
      <c r="K147" s="5">
        <v>4.0329102044833198E-2</v>
      </c>
      <c r="L147" s="5">
        <v>-2.3668507034820301E-2</v>
      </c>
      <c r="M147" s="5">
        <v>-0.19270327094675199</v>
      </c>
      <c r="N147" s="5">
        <v>0.25958539196999098</v>
      </c>
      <c r="O147" s="5">
        <v>-0.199339226586466</v>
      </c>
    </row>
    <row r="148" spans="1:15" x14ac:dyDescent="0.2">
      <c r="A148" s="4" t="s">
        <v>135</v>
      </c>
      <c r="B148" s="5" t="str">
        <f t="shared" si="3"/>
        <v>SRS017700</v>
      </c>
      <c r="C148" s="5" t="s">
        <v>155</v>
      </c>
      <c r="D148" s="5">
        <v>0.11725356550088201</v>
      </c>
      <c r="E148" s="5">
        <v>-0.119283505082934</v>
      </c>
      <c r="F148" s="5">
        <v>-0.19612122082536701</v>
      </c>
      <c r="G148" s="5">
        <v>-4.77841113177042E-2</v>
      </c>
      <c r="H148" s="5"/>
      <c r="I148" s="5">
        <v>0.69080780772019501</v>
      </c>
      <c r="J148" s="5">
        <v>2.41157115866645E-2</v>
      </c>
      <c r="K148" s="5">
        <v>2.7031393260865301E-4</v>
      </c>
      <c r="L148" s="5">
        <v>-3.8526601121586401E-2</v>
      </c>
      <c r="M148" s="5">
        <v>-0.116043929790231</v>
      </c>
      <c r="N148" s="5">
        <v>0.17693583996662299</v>
      </c>
      <c r="O148" s="5">
        <v>-9.2789945099058899E-2</v>
      </c>
    </row>
    <row r="149" spans="1:15" x14ac:dyDescent="0.2">
      <c r="A149" s="4" t="s">
        <v>135</v>
      </c>
      <c r="B149" s="5" t="str">
        <f t="shared" si="3"/>
        <v>SRS018769</v>
      </c>
      <c r="C149" s="5" t="s">
        <v>156</v>
      </c>
      <c r="D149" s="5">
        <v>-2.3882877711735799E-2</v>
      </c>
      <c r="E149" s="5">
        <v>-2.5220368497443399E-2</v>
      </c>
      <c r="F149" s="5">
        <v>0.38016645525349602</v>
      </c>
      <c r="G149" s="5">
        <v>0.31275501114331899</v>
      </c>
      <c r="H149" s="5"/>
      <c r="I149" s="5">
        <v>0.76439308299067799</v>
      </c>
      <c r="J149" s="5">
        <v>6.4068068209062606E-2</v>
      </c>
      <c r="K149" s="5">
        <v>5.67909674984486E-2</v>
      </c>
      <c r="L149" s="5">
        <v>-3.5353954079970301E-2</v>
      </c>
      <c r="M149" s="5">
        <v>-0.161085448865394</v>
      </c>
      <c r="N149" s="5">
        <v>-0.55773022386454796</v>
      </c>
      <c r="O149" s="5">
        <v>-0.16530280138582201</v>
      </c>
    </row>
    <row r="150" spans="1:15" x14ac:dyDescent="0.2">
      <c r="A150" s="4" t="s">
        <v>135</v>
      </c>
      <c r="B150" s="5" t="str">
        <f t="shared" si="3"/>
        <v>SRS019379</v>
      </c>
      <c r="C150" s="5" t="s">
        <v>157</v>
      </c>
      <c r="D150" s="5">
        <v>4.4226788831528599E-2</v>
      </c>
      <c r="E150" s="5">
        <v>0.20989433865169899</v>
      </c>
      <c r="F150" s="5">
        <v>-0.21070068910610201</v>
      </c>
      <c r="G150" s="5">
        <v>1.10072923330507E-2</v>
      </c>
      <c r="H150" s="5"/>
      <c r="I150" s="5">
        <v>0.77792839837466499</v>
      </c>
      <c r="J150" s="5">
        <v>0.126962994702533</v>
      </c>
      <c r="K150" s="5">
        <v>0.17803525492724001</v>
      </c>
      <c r="L150" s="5">
        <v>0.25366328678605898</v>
      </c>
      <c r="M150" s="5">
        <v>-0.21689954931049699</v>
      </c>
      <c r="N150" s="5">
        <v>0.25958539196999098</v>
      </c>
      <c r="O150" s="5">
        <v>0.51268284296484101</v>
      </c>
    </row>
    <row r="151" spans="1:15" x14ac:dyDescent="0.2">
      <c r="A151" s="4" t="s">
        <v>135</v>
      </c>
      <c r="B151" s="5" t="str">
        <f t="shared" si="3"/>
        <v>SRS019600</v>
      </c>
      <c r="C151" s="5" t="s">
        <v>158</v>
      </c>
      <c r="D151" s="5">
        <v>-0.117144067437356</v>
      </c>
      <c r="E151" s="5">
        <v>-0.19582805755589999</v>
      </c>
      <c r="F151" s="5">
        <v>0.31207603802385397</v>
      </c>
      <c r="G151" s="5"/>
      <c r="H151" s="5"/>
      <c r="I151" s="5">
        <v>0.34217590799655601</v>
      </c>
      <c r="J151" s="5">
        <v>7.0567125100222797E-2</v>
      </c>
      <c r="K151" s="5">
        <v>4.3955922342227102E-2</v>
      </c>
      <c r="L151" s="5">
        <v>-3.1174722798224801E-2</v>
      </c>
      <c r="M151" s="5">
        <v>4.6696139616972603E-2</v>
      </c>
      <c r="N151" s="5">
        <v>0.25958539196999098</v>
      </c>
      <c r="O151" s="5">
        <v>6.7802336940684799E-2</v>
      </c>
    </row>
    <row r="152" spans="1:15" x14ac:dyDescent="0.2">
      <c r="A152" s="4" t="s">
        <v>135</v>
      </c>
      <c r="B152" s="5" t="str">
        <f t="shared" si="3"/>
        <v>SRS019989</v>
      </c>
      <c r="C152" s="5" t="s">
        <v>159</v>
      </c>
      <c r="D152" s="5">
        <v>-0.18512014908515001</v>
      </c>
      <c r="E152" s="5">
        <v>-2.8160693761787099E-2</v>
      </c>
      <c r="F152" s="5">
        <v>-0.216694928135542</v>
      </c>
      <c r="G152" s="5">
        <v>0.178012030330187</v>
      </c>
      <c r="H152" s="5"/>
      <c r="I152" s="5">
        <v>0.39983285860722501</v>
      </c>
      <c r="J152" s="5">
        <v>3.75522234045811E-2</v>
      </c>
      <c r="K152" s="5">
        <v>-2.3432278231520401E-2</v>
      </c>
      <c r="L152" s="5">
        <v>-3.63345732748281E-2</v>
      </c>
      <c r="M152" s="5">
        <v>-9.7006102249820703E-2</v>
      </c>
      <c r="N152" s="5">
        <v>-0.12743212243199101</v>
      </c>
      <c r="O152" s="5">
        <v>-8.4804060224588196E-2</v>
      </c>
    </row>
    <row r="153" spans="1:15" x14ac:dyDescent="0.2">
      <c r="A153" s="4" t="s">
        <v>135</v>
      </c>
      <c r="B153" s="5" t="str">
        <f t="shared" si="3"/>
        <v>SRS020349</v>
      </c>
      <c r="C153" s="5" t="s">
        <v>160</v>
      </c>
      <c r="D153" s="5">
        <v>-2.5526829048146699E-3</v>
      </c>
      <c r="E153" s="5">
        <v>0.26454099970495498</v>
      </c>
      <c r="F153" s="5">
        <v>-0.17625096280706801</v>
      </c>
      <c r="G153" s="5">
        <v>7.3051846373311205E-2</v>
      </c>
      <c r="H153" s="5"/>
      <c r="I153" s="5">
        <v>0.43484638054365099</v>
      </c>
      <c r="J153" s="5">
        <v>3.4627244317167703E-2</v>
      </c>
      <c r="K153" s="5">
        <v>-3.8023797001302299E-4</v>
      </c>
      <c r="L153" s="5">
        <v>-1.4623443289715999E-2</v>
      </c>
      <c r="M153" s="5">
        <v>-7.8112967122967294E-2</v>
      </c>
      <c r="N153" s="5">
        <v>7.6800056933930702E-2</v>
      </c>
      <c r="O153" s="5">
        <v>-0.13657223511777999</v>
      </c>
    </row>
    <row r="154" spans="1:15" x14ac:dyDescent="0.2">
      <c r="A154" s="4" t="s">
        <v>135</v>
      </c>
      <c r="B154" s="5" t="str">
        <f t="shared" si="3"/>
        <v>SRS021969</v>
      </c>
      <c r="C154" s="5" t="s">
        <v>161</v>
      </c>
      <c r="D154" s="5">
        <v>-7.5343467327972605E-2</v>
      </c>
      <c r="E154" s="5">
        <v>0.40933735218927098</v>
      </c>
      <c r="F154" s="5">
        <v>3.14681865131477E-2</v>
      </c>
      <c r="G154" s="5">
        <v>-0.42957814117475202</v>
      </c>
      <c r="H154" s="5"/>
      <c r="I154" s="5">
        <v>5.8522325346296103E-2</v>
      </c>
      <c r="J154" s="5">
        <v>7.20634911790973E-2</v>
      </c>
      <c r="K154" s="5">
        <v>5.0069650212522701E-2</v>
      </c>
      <c r="L154" s="5">
        <v>-4.0245578959662201E-2</v>
      </c>
      <c r="M154" s="5">
        <v>-0.148275196929848</v>
      </c>
      <c r="N154" s="5">
        <v>0.25958539196999098</v>
      </c>
      <c r="O154" s="5">
        <v>-0.15078556984136801</v>
      </c>
    </row>
    <row r="155" spans="1:15" x14ac:dyDescent="0.2">
      <c r="A155" s="4" t="s">
        <v>135</v>
      </c>
      <c r="B155" s="5" t="str">
        <f t="shared" si="3"/>
        <v>SRS022092</v>
      </c>
      <c r="C155" s="5" t="s">
        <v>162</v>
      </c>
      <c r="D155" s="5">
        <v>0.129739928515401</v>
      </c>
      <c r="E155" s="5">
        <v>-0.14989524740141999</v>
      </c>
      <c r="F155" s="5">
        <v>0.24415430080266101</v>
      </c>
      <c r="G155" s="5"/>
      <c r="H155" s="5"/>
      <c r="I155" s="5">
        <v>0.759307440907667</v>
      </c>
      <c r="J155" s="5">
        <v>-2.73998196909733E-3</v>
      </c>
      <c r="K155" s="5">
        <v>8.08150808118704E-4</v>
      </c>
      <c r="L155" s="5">
        <v>0.114774606565986</v>
      </c>
      <c r="M155" s="5">
        <v>0.27208434713715002</v>
      </c>
      <c r="N155" s="5">
        <v>0.25958539196999098</v>
      </c>
      <c r="O155" s="5">
        <v>-0.69189995102924895</v>
      </c>
    </row>
    <row r="156" spans="1:15" x14ac:dyDescent="0.2">
      <c r="A156" s="4" t="s">
        <v>135</v>
      </c>
      <c r="B156" s="5" t="str">
        <f t="shared" si="3"/>
        <v>SRS022158</v>
      </c>
      <c r="C156" s="5" t="s">
        <v>163</v>
      </c>
      <c r="D156" s="5">
        <v>0.32970282199828699</v>
      </c>
      <c r="E156" s="5">
        <v>-0.164440344350995</v>
      </c>
      <c r="F156" s="5">
        <v>-1.13576085766458E-2</v>
      </c>
      <c r="G156" s="5">
        <v>2.1771569867634301E-3</v>
      </c>
      <c r="H156" s="5"/>
      <c r="I156" s="5">
        <v>0.87171362910227901</v>
      </c>
      <c r="J156" s="5">
        <v>1.8943562649041299E-3</v>
      </c>
      <c r="K156" s="5">
        <v>6.6028019382869299E-2</v>
      </c>
      <c r="L156" s="5">
        <v>2.80272479327448E-2</v>
      </c>
      <c r="M156" s="5">
        <v>-0.21273042321687799</v>
      </c>
      <c r="N156" s="5">
        <v>-0.61050286490189898</v>
      </c>
      <c r="O156" s="5">
        <v>-0.334846084184451</v>
      </c>
    </row>
    <row r="157" spans="1:15" x14ac:dyDescent="0.2">
      <c r="A157" s="4" t="s">
        <v>135</v>
      </c>
      <c r="B157" s="5" t="str">
        <f t="shared" si="3"/>
        <v>SRS022545</v>
      </c>
      <c r="C157" s="5" t="s">
        <v>164</v>
      </c>
      <c r="D157" s="5">
        <v>-0.14269630178239701</v>
      </c>
      <c r="E157" s="5">
        <v>-0.11097039650894901</v>
      </c>
      <c r="F157" s="5">
        <v>-0.24315090027089301</v>
      </c>
      <c r="G157" s="5">
        <v>0.51234532801616395</v>
      </c>
      <c r="H157" s="5"/>
      <c r="I157" s="5">
        <v>0.49591086134773599</v>
      </c>
      <c r="J157" s="5">
        <v>-1.50413861923883E-2</v>
      </c>
      <c r="K157" s="5">
        <v>0.18966429205139201</v>
      </c>
      <c r="L157" s="5">
        <v>0.292961128398674</v>
      </c>
      <c r="M157" s="5">
        <v>-0.14350768262376801</v>
      </c>
      <c r="N157" s="5">
        <v>0.25958539196999098</v>
      </c>
      <c r="O157" s="5">
        <v>-0.31144867229189099</v>
      </c>
    </row>
    <row r="158" spans="1:15" x14ac:dyDescent="0.2">
      <c r="A158" s="4" t="s">
        <v>135</v>
      </c>
      <c r="B158" s="5" t="str">
        <f t="shared" si="3"/>
        <v>SRS023468</v>
      </c>
      <c r="C158" s="5" t="s">
        <v>165</v>
      </c>
      <c r="D158" s="5">
        <v>-0.156245152336385</v>
      </c>
      <c r="E158" s="5">
        <v>-0.12591641309703799</v>
      </c>
      <c r="F158" s="5">
        <v>-0.24725593019595299</v>
      </c>
      <c r="G158" s="5">
        <v>0.17303934440461199</v>
      </c>
      <c r="H158" s="5">
        <v>4.3685857393787296E-3</v>
      </c>
      <c r="I158" s="5">
        <v>0.64751981026384198</v>
      </c>
      <c r="J158" s="5">
        <v>-6.5704168837575601E-3</v>
      </c>
      <c r="K158" s="5">
        <v>-6.5553408122978205E-2</v>
      </c>
      <c r="L158" s="5">
        <v>0.31485748212631298</v>
      </c>
      <c r="M158" s="5">
        <v>0.133386602749822</v>
      </c>
      <c r="N158" s="5">
        <v>0.27813302463573297</v>
      </c>
      <c r="O158" s="5">
        <v>0.58125378055730603</v>
      </c>
    </row>
    <row r="159" spans="1:15" x14ac:dyDescent="0.2">
      <c r="A159" s="4" t="s">
        <v>135</v>
      </c>
      <c r="B159" s="5" t="str">
        <f t="shared" si="3"/>
        <v>SRS023850</v>
      </c>
      <c r="C159" s="5" t="s">
        <v>166</v>
      </c>
      <c r="D159" s="5">
        <v>5.6315437452554698E-2</v>
      </c>
      <c r="E159" s="5">
        <v>-0.17334724304037499</v>
      </c>
      <c r="F159" s="5">
        <v>0.18114579266831801</v>
      </c>
      <c r="G159" s="5">
        <v>-4.1025029115828102E-3</v>
      </c>
      <c r="H159" s="5"/>
      <c r="I159" s="5">
        <v>0.49442728496000699</v>
      </c>
      <c r="J159" s="5">
        <v>0.165296683979343</v>
      </c>
      <c r="K159" s="5">
        <v>0.28384089961088999</v>
      </c>
      <c r="L159" s="5">
        <v>0.31874897908247501</v>
      </c>
      <c r="M159" s="5">
        <v>-0.131265253659057</v>
      </c>
      <c r="N159" s="5">
        <v>0.25958539196999098</v>
      </c>
      <c r="O159" s="5">
        <v>-0.67496310528125802</v>
      </c>
    </row>
    <row r="160" spans="1:15" x14ac:dyDescent="0.2">
      <c r="A160" s="4" t="s">
        <v>135</v>
      </c>
      <c r="B160" s="5" t="str">
        <f t="shared" si="3"/>
        <v>SRS024068</v>
      </c>
      <c r="C160" s="5" t="s">
        <v>167</v>
      </c>
      <c r="D160" s="5">
        <v>-3.3789387694770398E-2</v>
      </c>
      <c r="E160" s="5">
        <v>-8.76759420341576E-2</v>
      </c>
      <c r="F160" s="5">
        <v>0.13442247750056599</v>
      </c>
      <c r="G160" s="5">
        <v>-0.40801637818979603</v>
      </c>
      <c r="H160" s="5"/>
      <c r="I160" s="5">
        <v>0.58142921208309395</v>
      </c>
      <c r="J160" s="5">
        <v>-1.32866340490873E-2</v>
      </c>
      <c r="K160" s="5">
        <v>-5.59317815046423E-2</v>
      </c>
      <c r="L160" s="5">
        <v>0.186918433854979</v>
      </c>
      <c r="M160" s="5">
        <v>0.33154750555032803</v>
      </c>
      <c r="N160" s="5">
        <v>0.25958539196999098</v>
      </c>
      <c r="O160" s="5">
        <v>-0.69961720093743396</v>
      </c>
    </row>
    <row r="161" spans="1:15" x14ac:dyDescent="0.2">
      <c r="A161" s="4" t="s">
        <v>135</v>
      </c>
      <c r="B161" s="5" t="str">
        <f t="shared" si="3"/>
        <v>SRS024310</v>
      </c>
      <c r="C161" s="5" t="s">
        <v>168</v>
      </c>
      <c r="D161" s="5">
        <v>-1.0080448810365101E-3</v>
      </c>
      <c r="E161" s="5">
        <v>-7.11220957808276E-3</v>
      </c>
      <c r="F161" s="5">
        <v>-3.1246754381726301E-2</v>
      </c>
      <c r="G161" s="5">
        <v>-0.17733782100040399</v>
      </c>
      <c r="H161" s="5">
        <v>-0.17962032994559801</v>
      </c>
      <c r="I161" s="5">
        <v>0.200807928333335</v>
      </c>
      <c r="J161" s="5">
        <v>5.0689660384083901E-2</v>
      </c>
      <c r="K161" s="5">
        <v>1.8213254939334199E-2</v>
      </c>
      <c r="L161" s="5">
        <v>-4.1096891560452299E-2</v>
      </c>
      <c r="M161" s="5">
        <v>-0.101081668503582</v>
      </c>
      <c r="N161" s="5">
        <v>0.28501884124142901</v>
      </c>
      <c r="O161" s="5">
        <v>-9.6201863528988796E-2</v>
      </c>
    </row>
    <row r="162" spans="1:15" x14ac:dyDescent="0.2">
      <c r="A162" s="4" t="s">
        <v>135</v>
      </c>
      <c r="B162" s="5" t="str">
        <f t="shared" si="3"/>
        <v>SRS024428</v>
      </c>
      <c r="C162" s="5" t="s">
        <v>169</v>
      </c>
      <c r="D162" s="5">
        <v>-6.9107739142669405E-2</v>
      </c>
      <c r="E162" s="5">
        <v>-1.89799717387048E-2</v>
      </c>
      <c r="F162" s="5">
        <v>6.6535841737759394E-2</v>
      </c>
      <c r="G162" s="5">
        <v>-9.5127327217319896E-2</v>
      </c>
      <c r="H162" s="5" t="s">
        <v>185</v>
      </c>
      <c r="I162" s="5">
        <v>0.51160047571139</v>
      </c>
      <c r="J162" s="5">
        <v>-1.4227057805994099E-2</v>
      </c>
      <c r="K162" s="5">
        <v>0.13643332079842799</v>
      </c>
      <c r="L162" s="5">
        <v>0.33291856884216098</v>
      </c>
      <c r="M162" s="5">
        <v>-0.187679775890426</v>
      </c>
      <c r="N162" s="5">
        <v>-0.61990514907607697</v>
      </c>
      <c r="O162" s="5">
        <v>0.53993450962775302</v>
      </c>
    </row>
    <row r="163" spans="1:15" x14ac:dyDescent="0.2">
      <c r="A163" s="4" t="s">
        <v>135</v>
      </c>
      <c r="B163" s="5" t="str">
        <f t="shared" si="3"/>
        <v>SRS042858</v>
      </c>
      <c r="C163" s="5" t="s">
        <v>170</v>
      </c>
      <c r="D163" s="5">
        <v>-0.206973712952841</v>
      </c>
      <c r="E163" s="5">
        <v>0.222994103951765</v>
      </c>
      <c r="F163" s="5">
        <v>-0.158341849191215</v>
      </c>
      <c r="G163" s="5"/>
      <c r="H163" s="5"/>
      <c r="I163" s="5">
        <v>0.417773328505126</v>
      </c>
      <c r="J163" s="5">
        <v>6.4310616050676395E-2</v>
      </c>
      <c r="K163" s="5">
        <v>2.4002524035426399E-2</v>
      </c>
      <c r="L163" s="5">
        <v>-3.3740201293842198E-2</v>
      </c>
      <c r="M163" s="5">
        <v>-0.10427376698721499</v>
      </c>
      <c r="N163" s="5">
        <v>0.25958539196999098</v>
      </c>
      <c r="O163" s="5">
        <v>-0.11465178075253001</v>
      </c>
    </row>
    <row r="164" spans="1:15" x14ac:dyDescent="0.2">
      <c r="A164" s="4" t="s">
        <v>135</v>
      </c>
      <c r="B164" s="5" t="str">
        <f t="shared" si="3"/>
        <v>SRS044742</v>
      </c>
      <c r="C164" s="5" t="s">
        <v>171</v>
      </c>
      <c r="D164" s="5">
        <v>-0.13993781372072001</v>
      </c>
      <c r="E164" s="5">
        <v>-0.18025568188652799</v>
      </c>
      <c r="F164" s="5">
        <v>-9.2253601050634307E-2</v>
      </c>
      <c r="G164" s="5">
        <v>-0.200301100952268</v>
      </c>
      <c r="H164" s="5"/>
      <c r="I164" s="5">
        <v>0.34866687657597101</v>
      </c>
      <c r="J164" s="5">
        <v>6.1802063588865301E-2</v>
      </c>
      <c r="K164" s="5">
        <v>5.0673206077110101E-2</v>
      </c>
      <c r="L164" s="5">
        <v>9.8654657795530204E-2</v>
      </c>
      <c r="M164" s="5">
        <v>-0.15702441892671201</v>
      </c>
      <c r="N164" s="5">
        <v>0.14715541230509699</v>
      </c>
      <c r="O164" s="5">
        <v>-0.45503704116851701</v>
      </c>
    </row>
    <row r="165" spans="1:15" x14ac:dyDescent="0.2">
      <c r="A165" s="4" t="s">
        <v>135</v>
      </c>
      <c r="B165" s="5" t="str">
        <f t="shared" si="3"/>
        <v>SRS049237</v>
      </c>
      <c r="C165" s="5" t="s">
        <v>172</v>
      </c>
      <c r="D165" s="5">
        <v>0.121079425290647</v>
      </c>
      <c r="E165" s="5">
        <v>-0.19889943413431299</v>
      </c>
      <c r="F165" s="5">
        <v>-0.18742484712229199</v>
      </c>
      <c r="G165" s="5">
        <v>-0.133606857086734</v>
      </c>
      <c r="H165" s="5"/>
      <c r="I165" s="5">
        <v>0.41326603912627502</v>
      </c>
      <c r="J165" s="5">
        <v>5.1591443734476598E-2</v>
      </c>
      <c r="K165" s="5">
        <v>0.11581941575490901</v>
      </c>
      <c r="L165" s="5">
        <v>0.11208591319682699</v>
      </c>
      <c r="M165" s="5">
        <v>-0.16016469567514399</v>
      </c>
      <c r="N165" s="5">
        <v>-0.61827300685046105</v>
      </c>
      <c r="O165" s="5">
        <v>-0.65338319411284296</v>
      </c>
    </row>
    <row r="166" spans="1:15" x14ac:dyDescent="0.2">
      <c r="A166" s="4" t="s">
        <v>135</v>
      </c>
      <c r="B166" s="5" t="str">
        <f t="shared" si="3"/>
        <v>SRS051505</v>
      </c>
      <c r="C166" s="5" t="s">
        <v>173</v>
      </c>
      <c r="D166" s="5">
        <v>4.7171815312587401E-3</v>
      </c>
      <c r="E166" s="5">
        <v>-0.16128830855734499</v>
      </c>
      <c r="F166" s="5">
        <v>7.5580933070517803E-2</v>
      </c>
      <c r="G166" s="5">
        <v>-0.388694516109439</v>
      </c>
      <c r="H166" s="5"/>
      <c r="I166" s="5">
        <v>0.38969126088871198</v>
      </c>
      <c r="J166" s="5">
        <v>4.4875000708253197E-2</v>
      </c>
      <c r="K166" s="5">
        <v>3.2908515730189797E-2</v>
      </c>
      <c r="L166" s="5">
        <v>0.22289135363334001</v>
      </c>
      <c r="M166" s="5">
        <v>-0.14202579056315501</v>
      </c>
      <c r="N166" s="5">
        <v>0.22677621242694801</v>
      </c>
      <c r="O166" s="5">
        <v>-2.5102166363008601E-2</v>
      </c>
    </row>
    <row r="167" spans="1:15" x14ac:dyDescent="0.2">
      <c r="A167" s="4" t="s">
        <v>135</v>
      </c>
      <c r="B167" s="5" t="str">
        <f t="shared" si="3"/>
        <v>SRS052330</v>
      </c>
      <c r="C167" s="5" t="s">
        <v>174</v>
      </c>
      <c r="D167" s="5">
        <v>-0.13838129932123999</v>
      </c>
      <c r="E167" s="5">
        <v>0.11087957587400001</v>
      </c>
      <c r="F167" s="5">
        <v>-0.273425795330071</v>
      </c>
      <c r="G167" s="5">
        <v>-0.329746962677609</v>
      </c>
      <c r="H167" s="5"/>
      <c r="I167" s="5">
        <v>0.66274562539942194</v>
      </c>
      <c r="J167" s="5">
        <v>-1.40097703840651E-2</v>
      </c>
      <c r="K167" s="5">
        <v>-2.58411970091014E-2</v>
      </c>
      <c r="L167" s="5">
        <v>0.10088639244709099</v>
      </c>
      <c r="M167" s="5">
        <v>0.27108752154256999</v>
      </c>
      <c r="N167" s="5">
        <v>0.25958539196999098</v>
      </c>
      <c r="O167" s="5">
        <v>-0.70019344248583004</v>
      </c>
    </row>
    <row r="168" spans="1:15" x14ac:dyDescent="0.2">
      <c r="A168" s="4" t="s">
        <v>135</v>
      </c>
      <c r="B168" s="5" t="str">
        <f t="shared" si="3"/>
        <v>SRS052756</v>
      </c>
      <c r="C168" s="5" t="s">
        <v>175</v>
      </c>
      <c r="D168" s="5">
        <v>-0.14703256392223599</v>
      </c>
      <c r="E168" s="5">
        <v>-0.12367592448599</v>
      </c>
      <c r="F168" s="5">
        <v>-0.389042470208735</v>
      </c>
      <c r="G168" s="5">
        <v>7.9377623272072206E-2</v>
      </c>
      <c r="H168" s="5"/>
      <c r="I168" s="5">
        <v>2.5448767176827699E-2</v>
      </c>
      <c r="J168" s="5">
        <v>6.97252718906472E-2</v>
      </c>
      <c r="K168" s="5">
        <v>0.221681535219132</v>
      </c>
      <c r="L168" s="5">
        <v>0.34424475595259302</v>
      </c>
      <c r="M168" s="5">
        <v>-0.141705064897646</v>
      </c>
      <c r="N168" s="5">
        <v>-0.57060692255106304</v>
      </c>
      <c r="O168" s="5">
        <v>-0.15453123773713701</v>
      </c>
    </row>
    <row r="169" spans="1:15" x14ac:dyDescent="0.2">
      <c r="A169" s="4" t="s">
        <v>135</v>
      </c>
      <c r="B169" s="5" t="str">
        <f t="shared" si="3"/>
        <v>SRS054962</v>
      </c>
      <c r="C169" s="5" t="s">
        <v>176</v>
      </c>
      <c r="D169" s="5">
        <v>4.7896339608641599E-2</v>
      </c>
      <c r="E169" s="5">
        <v>0.232904587257424</v>
      </c>
      <c r="F169" s="5">
        <v>-0.150692553952395</v>
      </c>
      <c r="G169" s="5">
        <v>-0.32336777047228499</v>
      </c>
      <c r="H169" s="5"/>
      <c r="I169" s="5">
        <v>0.182005978476556</v>
      </c>
      <c r="J169" s="5">
        <v>7.9916439779096501E-2</v>
      </c>
      <c r="K169" s="5">
        <v>0.120143682092386</v>
      </c>
      <c r="L169" s="5">
        <v>0.21070782939946101</v>
      </c>
      <c r="M169" s="5">
        <v>-0.14374097556324</v>
      </c>
      <c r="N169" s="5">
        <v>0.250060274576833</v>
      </c>
      <c r="O169" s="5">
        <v>-0.25355531861177799</v>
      </c>
    </row>
    <row r="170" spans="1:15" x14ac:dyDescent="0.2">
      <c r="A170" s="4" t="s">
        <v>135</v>
      </c>
      <c r="B170" s="5" t="str">
        <f t="shared" si="3"/>
        <v>SRS056695</v>
      </c>
      <c r="C170" s="5" t="s">
        <v>177</v>
      </c>
      <c r="D170" s="5">
        <v>-0.16567732925748499</v>
      </c>
      <c r="E170" s="5">
        <v>-0.21445703149547299</v>
      </c>
      <c r="F170" s="5">
        <v>0.245494033859116</v>
      </c>
      <c r="G170" s="5">
        <v>-1.0871045415365399E-2</v>
      </c>
      <c r="H170" s="5"/>
      <c r="I170" s="5">
        <v>-0.35994627468206702</v>
      </c>
      <c r="J170" s="5">
        <v>8.7218385366603993E-3</v>
      </c>
      <c r="K170" s="5">
        <v>9.6018831889903393E-3</v>
      </c>
      <c r="L170" s="5">
        <v>-3.4546543898466502E-2</v>
      </c>
      <c r="M170" s="5">
        <v>-0.117045016221679</v>
      </c>
      <c r="N170" s="5">
        <v>0.38272658154660499</v>
      </c>
      <c r="O170" s="5">
        <v>-0.14525249085981201</v>
      </c>
    </row>
    <row r="171" spans="1:15" x14ac:dyDescent="0.2">
      <c r="A171" s="4" t="s">
        <v>135</v>
      </c>
      <c r="B171" s="5" t="str">
        <f t="shared" si="3"/>
        <v>SRS062520</v>
      </c>
      <c r="C171" s="5" t="s">
        <v>178</v>
      </c>
      <c r="D171" s="5">
        <v>1.3162099264568501E-2</v>
      </c>
      <c r="E171" s="5">
        <v>0.135282605631768</v>
      </c>
      <c r="F171" s="5">
        <v>3.5942806294284403E-2</v>
      </c>
      <c r="G171" s="5">
        <v>-0.46324264522224801</v>
      </c>
      <c r="H171" s="5"/>
      <c r="I171" s="5">
        <v>0.17026025552518301</v>
      </c>
      <c r="J171" s="5">
        <v>0.11850275078525099</v>
      </c>
      <c r="K171" s="5">
        <v>0.231410335388815</v>
      </c>
      <c r="L171" s="5">
        <v>0.195872823898573</v>
      </c>
      <c r="M171" s="5">
        <v>-0.23087171226053799</v>
      </c>
      <c r="N171" s="5">
        <v>0.25958539196999098</v>
      </c>
      <c r="O171" s="5">
        <v>0.47108075739206001</v>
      </c>
    </row>
    <row r="172" spans="1:15" x14ac:dyDescent="0.2">
      <c r="A172" s="4" t="s">
        <v>135</v>
      </c>
      <c r="B172" s="5" t="str">
        <f t="shared" si="3"/>
        <v>SRS062752</v>
      </c>
      <c r="C172" s="5" t="s">
        <v>179</v>
      </c>
      <c r="D172" s="5">
        <v>-4.4366067588423097E-2</v>
      </c>
      <c r="E172" s="5">
        <v>-5.5858378240319702E-2</v>
      </c>
      <c r="F172" s="5">
        <v>-0.23000480338267901</v>
      </c>
      <c r="G172" s="5">
        <v>3.6175047306094603E-2</v>
      </c>
      <c r="H172" s="5"/>
      <c r="I172" s="5">
        <v>0.57060321266353897</v>
      </c>
      <c r="J172" s="5">
        <v>6.4191727291342607E-2</v>
      </c>
      <c r="K172" s="5">
        <v>-1.6868004621954501E-2</v>
      </c>
      <c r="L172" s="5">
        <v>-3.9730977412448201E-2</v>
      </c>
      <c r="M172" s="5">
        <v>-0.12559972293520899</v>
      </c>
      <c r="N172" s="5">
        <v>3.2470365155114998E-2</v>
      </c>
      <c r="O172" s="5">
        <v>-0.20777122293761599</v>
      </c>
    </row>
    <row r="173" spans="1:15" x14ac:dyDescent="0.2">
      <c r="A173" s="4" t="s">
        <v>135</v>
      </c>
      <c r="B173" s="5" t="str">
        <f t="shared" si="3"/>
        <v>SRS063417</v>
      </c>
      <c r="C173" s="5" t="s">
        <v>180</v>
      </c>
      <c r="D173" s="5">
        <v>-0.13741556075869399</v>
      </c>
      <c r="E173" s="5">
        <v>-0.208632009952011</v>
      </c>
      <c r="F173" s="5">
        <v>-9.7312642522363296E-2</v>
      </c>
      <c r="G173" s="5">
        <v>-0.19012363732670601</v>
      </c>
      <c r="H173" s="5"/>
      <c r="I173" s="5">
        <v>0.50930753041602905</v>
      </c>
      <c r="J173" s="5">
        <v>-1.32848447806635E-2</v>
      </c>
      <c r="K173" s="5">
        <v>-6.0907219228709099E-2</v>
      </c>
      <c r="L173" s="5">
        <v>9.9052791571339505E-2</v>
      </c>
      <c r="M173" s="5">
        <v>0.275291485608883</v>
      </c>
      <c r="N173" s="5">
        <v>0.34517219624568701</v>
      </c>
      <c r="O173" s="5">
        <v>-0.69349561765675705</v>
      </c>
    </row>
    <row r="174" spans="1:15" x14ac:dyDescent="0.2">
      <c r="A174" s="4" t="s">
        <v>135</v>
      </c>
      <c r="B174" s="5" t="str">
        <f t="shared" si="3"/>
        <v>SRS064376</v>
      </c>
      <c r="C174" s="5" t="s">
        <v>181</v>
      </c>
      <c r="D174" s="5">
        <v>4.3819288635335997E-2</v>
      </c>
      <c r="E174" s="5">
        <v>0.16826954728481899</v>
      </c>
      <c r="F174" s="5">
        <v>0.561780676972788</v>
      </c>
      <c r="G174" s="5">
        <v>-0.219954864919545</v>
      </c>
      <c r="H174" s="5"/>
      <c r="I174" s="5">
        <v>0.47579898430596601</v>
      </c>
      <c r="J174" s="5">
        <v>7.2885234780039096E-2</v>
      </c>
      <c r="K174" s="5">
        <v>1.19161093950151E-2</v>
      </c>
      <c r="L174" s="5">
        <v>-4.8530903299056898E-2</v>
      </c>
      <c r="M174" s="5">
        <v>-0.24028297941893501</v>
      </c>
      <c r="N174" s="5">
        <v>0.33060797461170499</v>
      </c>
      <c r="O174" s="5">
        <v>-0.224897473048188</v>
      </c>
    </row>
    <row r="175" spans="1:15" x14ac:dyDescent="0.2">
      <c r="A175" s="4" t="s">
        <v>135</v>
      </c>
      <c r="B175" s="5" t="str">
        <f t="shared" si="3"/>
        <v>SRS064704</v>
      </c>
      <c r="C175" s="5" t="s">
        <v>182</v>
      </c>
      <c r="D175" s="5">
        <v>0.51000813618010499</v>
      </c>
      <c r="E175" s="5">
        <v>-5.5949826623858202E-2</v>
      </c>
      <c r="F175" s="5">
        <v>-0.225172117101157</v>
      </c>
      <c r="G175" s="5">
        <v>0.68939356367258797</v>
      </c>
      <c r="H175" s="5"/>
      <c r="I175" s="5">
        <v>0.39777636024007701</v>
      </c>
      <c r="J175" s="5">
        <v>1.6982182991438999E-2</v>
      </c>
      <c r="K175" s="5">
        <v>0.106263254964699</v>
      </c>
      <c r="L175" s="5">
        <v>0.21877922705489999</v>
      </c>
      <c r="M175" s="5">
        <v>0.254543433392455</v>
      </c>
      <c r="N175" s="5">
        <v>0.34130528678476602</v>
      </c>
      <c r="O175" s="5">
        <v>-0.67132431231886103</v>
      </c>
    </row>
    <row r="176" spans="1:15" x14ac:dyDescent="0.2">
      <c r="A176" s="4" t="s">
        <v>135</v>
      </c>
      <c r="B176" s="5" t="str">
        <f t="shared" si="3"/>
        <v>SRS065347</v>
      </c>
      <c r="C176" s="5" t="s">
        <v>183</v>
      </c>
      <c r="D176" s="5">
        <v>0.115387531570912</v>
      </c>
      <c r="E176" s="5">
        <v>-0.12899153994439599</v>
      </c>
      <c r="F176" s="5">
        <v>-1.1415507196182799E-2</v>
      </c>
      <c r="G176" s="5">
        <v>9.4874598954171094E-2</v>
      </c>
      <c r="H176" s="5"/>
      <c r="I176" s="5">
        <v>-7.3686083668992501E-3</v>
      </c>
      <c r="J176" s="5">
        <v>6.4837383867576096E-3</v>
      </c>
      <c r="K176" s="5">
        <v>2.9014890190181299E-2</v>
      </c>
      <c r="L176" s="5">
        <v>-3.5692371919964702E-2</v>
      </c>
      <c r="M176" s="5">
        <v>-0.15861024652779401</v>
      </c>
      <c r="N176" s="5">
        <v>-0.54147869967782503</v>
      </c>
      <c r="O176" s="5">
        <v>-0.23102558362797701</v>
      </c>
    </row>
    <row r="177" spans="1:15" x14ac:dyDescent="0.2">
      <c r="A177" s="4" t="s">
        <v>135</v>
      </c>
      <c r="B177" s="5" t="str">
        <f t="shared" si="3"/>
        <v>SRS077751</v>
      </c>
      <c r="C177" s="5" t="s">
        <v>184</v>
      </c>
      <c r="D177" s="5">
        <v>3.9045738635985301E-3</v>
      </c>
      <c r="E177" s="5">
        <v>-7.5683902253653998E-2</v>
      </c>
      <c r="F177" s="5">
        <v>0.45274229176780001</v>
      </c>
      <c r="G177" s="5"/>
      <c r="H177" s="5"/>
      <c r="I177" s="5">
        <v>-4.4101665753719398E-2</v>
      </c>
      <c r="J177" s="5">
        <v>7.8299589830590002E-2</v>
      </c>
      <c r="K177" s="5">
        <v>2.03997945010236E-2</v>
      </c>
      <c r="L177" s="5">
        <v>-4.1501744165210498E-2</v>
      </c>
      <c r="M177" s="5">
        <v>3.0037696282936399E-2</v>
      </c>
      <c r="N177" s="5">
        <v>0.25958539196999098</v>
      </c>
      <c r="O177" s="5">
        <v>5.1119928011088597E-2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2016-11-04T14:51:12Z</dcterms:created>
  <dcterms:modified xsi:type="dcterms:W3CDTF">2018-01-17T10:03:44Z</dcterms:modified>
</cp:coreProperties>
</file>